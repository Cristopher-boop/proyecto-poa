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8_{2BCE6F88-21F0-4809-A9EC-0EECCC6CF1F7}" xr6:coauthVersionLast="47" xr6:coauthVersionMax="47" xr10:uidLastSave="{00000000-0000-0000-0000-000000000000}"/>
  <bookViews>
    <workbookView xWindow="-120" yWindow="-120" windowWidth="19440" windowHeight="10320" firstSheet="2" activeTab="2" xr2:uid="{00000000-000D-0000-FFFF-FFFF00000000}"/>
  </bookViews>
  <sheets>
    <sheet name="MATRIZ preliminar 2026" sheetId="7" state="hidden" r:id="rId1"/>
    <sheet name="OPERACIONES POA PARA PRESUPUEST" sheetId="1" state="hidden" r:id="rId2"/>
    <sheet name="PROG 1" sheetId="6" r:id="rId3"/>
    <sheet name="PROG 2" sheetId="3" r:id="rId4"/>
    <sheet name="PROG 410" sheetId="4" r:id="rId5"/>
    <sheet name="PROG 210" sheetId="5" r:id="rId6"/>
  </sheets>
  <definedNames>
    <definedName name="_xlnm._FilterDatabase" localSheetId="1" hidden="1">'OPERACIONES POA PARA PRESUPUEST'!$B$2:$I$228</definedName>
    <definedName name="_xlnm._FilterDatabase" localSheetId="2" hidden="1">'PROG 1'!$A$4:$K$66</definedName>
    <definedName name="_xlnm._FilterDatabase" localSheetId="3" hidden="1">'PROG 2'!$A$4:$K$43</definedName>
    <definedName name="_xlnm._FilterDatabase" localSheetId="5" hidden="1">'PROG 210'!$A$4:$K$79</definedName>
    <definedName name="_xlnm._FilterDatabase" localSheetId="4" hidden="1">'PROG 410'!$B$4:$K$56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" i="7" l="1"/>
  <c r="P8" i="7"/>
  <c r="X6" i="7"/>
  <c r="P6" i="7"/>
  <c r="X4" i="7"/>
  <c r="P4" i="7"/>
  <c r="X3" i="7"/>
  <c r="P3" i="7"/>
  <c r="K79" i="5"/>
  <c r="K56" i="4"/>
  <c r="K43" i="3"/>
  <c r="K66" i="6"/>
  <c r="I226" i="1"/>
  <c r="X9" i="7" l="1"/>
  <c r="H233" i="1"/>
  <c r="I228" i="1" l="1"/>
  <c r="H234" i="1" s="1"/>
</calcChain>
</file>

<file path=xl/sharedStrings.xml><?xml version="1.0" encoding="utf-8"?>
<sst xmlns="http://schemas.openxmlformats.org/spreadsheetml/2006/main" count="945" uniqueCount="282">
  <si>
    <t>Código Acción de corto plazo</t>
  </si>
  <si>
    <t>Acción de corto plazo Gestión xxxx</t>
  </si>
  <si>
    <t>Operación</t>
  </si>
  <si>
    <t>Bien o Servicio demandado</t>
  </si>
  <si>
    <t>Presupuesto de gastos</t>
  </si>
  <si>
    <t>Gerencia y/o Unidad</t>
  </si>
  <si>
    <t>CIAC TAMEP</t>
  </si>
  <si>
    <t>Planificar, organizar, desarrollar, ejecutar y evaluar programas de formación, capacitación, entrenamiento y actualización dirigidos a alumnos interesados en el campo de la Aviación y al personal aeronáutico, asi ampliar y matener las competencias técnicas y profesionales conforme a la normativa aeronáutica nacional e internacional, contribuyendo al desarrollo seguro, eficiente y sostenible del sistema de aviación civil.</t>
  </si>
  <si>
    <t>UAI</t>
  </si>
  <si>
    <t>Ejecutar el control interno posterior, mediante la realización de trabajos de auditoria de mandato legal y otros programados en base a la evaluación de riesgos de la Empresa Publica Transporte Aéreo Militar; asimismo, aquellas instruidas por las instancias competentes, las cuales permitirán el logro de los objetivos de la empresa.</t>
  </si>
  <si>
    <t>CONSULTORES INDIVIDUALES DE LINEA</t>
  </si>
  <si>
    <t>PASAJES AL INTERIOR DEL PAIS</t>
  </si>
  <si>
    <t>VIATICOS VIAJES AL INTERIOR DEL PAIS</t>
  </si>
  <si>
    <t>COMISIONES Y GASTOS BANCARIOS</t>
  </si>
  <si>
    <t>SERVICIOS DE IMPRENTA, FOTOCOPIADO Y FOTOGRAFICOS</t>
  </si>
  <si>
    <t>CAPACITACION DEL PERSONAL</t>
  </si>
  <si>
    <t>EQUIPO DE COMPUTACIÓN</t>
  </si>
  <si>
    <t>Promover una gestión empresarial pública administrativa transparente respecto a los procesos y actividades realizadas por la EPTAM.</t>
  </si>
  <si>
    <t>UTLCC</t>
  </si>
  <si>
    <t xml:space="preserve">Brindar soporte técnico (Mantenimiento, preventivo ycorrectivo al parque informatico) de EPTAM  </t>
  </si>
  <si>
    <t>Renovación del servicio de hosting</t>
  </si>
  <si>
    <t>Renovación del servicio de Dominio de EPTAM.</t>
  </si>
  <si>
    <t xml:space="preserve">Desarrollar el Sistema de Activos Fijos </t>
  </si>
  <si>
    <t>Desarrollar el Sistema de Control de Asistencia</t>
  </si>
  <si>
    <t>Desarrollar el Sistema de SMS</t>
  </si>
  <si>
    <t>Implementar la herramienta Moodle para el CIAC</t>
  </si>
  <si>
    <t>Gerencia de informatica y comunicaciones</t>
  </si>
  <si>
    <t>Desarrollar, administrar, controlar y supervisar la Gestión de Reclamaciones Directas y Administrativas, como también, los Proyectos de Gestión de Calidad en el Servicio para la mejora continua; en cumplimiento a las disposiciones emitidas por las autoridades competentes.</t>
  </si>
  <si>
    <t>TRANSPORTE DE PERSONAL</t>
  </si>
  <si>
    <t>SERVICIOS MANUALES</t>
  </si>
  <si>
    <t>PRODUCTOS DE CUERO Y CAUCHO</t>
  </si>
  <si>
    <t>GASTOS POR ALIMENTACION Y OTROS SIMILARES</t>
  </si>
  <si>
    <t>PUBLICIDAD</t>
  </si>
  <si>
    <t>Gestionar y coordinar la planificacion y  el desarrollo organizacional de la EPTAM, en el marco del SOA y el SPO</t>
  </si>
  <si>
    <t>Interponer demandas, defensa, realizar el seguimiento a procesos laborales, coactivos, Penales, Civiles y Contenciosos.</t>
  </si>
  <si>
    <t>Responder a trámites administrativos internos o externos, Directorio, así como de la FAB y Ministerios del Área</t>
  </si>
  <si>
    <t>Seguimiento y defensa de procesos de ejecucion coactiva iniciados por la ATT, coordinación de pagos de procesosos ejecutoriados Y Acciones de repeticion.</t>
  </si>
  <si>
    <t>Suscribir convenios y/o contratos de acuerdo al giro empresar</t>
  </si>
  <si>
    <t xml:space="preserve">Unidad de Asesoria Jurídica </t>
  </si>
  <si>
    <t>GERENCIA DE ASUNTOS ADMINISTRATIVOS</t>
  </si>
  <si>
    <t>GERENCIA COMERCIAL</t>
  </si>
  <si>
    <t>Realizar Transporte de
Pasajeros Vuelos Regulares
mediante el sistema de
distribucion global (GDS)</t>
  </si>
  <si>
    <t>Realizar Transporte de
Pasajeros en Vuelos Charter</t>
  </si>
  <si>
    <t>Realizar Transporte de Carga
y Correo</t>
  </si>
  <si>
    <t xml:space="preserve">GERENCIA DE OPERACIONES </t>
  </si>
  <si>
    <t xml:space="preserve">Mantener vigente el certificado
de aeronavegabilidad
continua de la aeronave AVRO RJ70 MATRICULA CP3106, ante la Dirección General de Aeronáutica CivilDGAC, dando cumplimiento al
PM (Programa de Mantenimiento) y al MCM (Manual de Control de
Mantenimiento). </t>
  </si>
  <si>
    <t>PASAJES AL EXTERIOR DEL PAÍS</t>
  </si>
  <si>
    <t>FLETES Y ALMACENAMIENTO</t>
  </si>
  <si>
    <t>SEGUROS</t>
  </si>
  <si>
    <t>ALQUILER DE EQUIPOS Y MAQUINARIAS</t>
  </si>
  <si>
    <t>DERECHOS SOBRE BIENES INTANGIBLES</t>
  </si>
  <si>
    <t>OTROS SERVICIOS</t>
  </si>
  <si>
    <t>PRENDAS DE VESTIR</t>
  </si>
  <si>
    <t>CALZADOS</t>
  </si>
  <si>
    <t>COMBUSTIBLES, LUBRICANTES Y DERIVADOS PARA CONSUMO</t>
  </si>
  <si>
    <t>PRODUCTOS QUÍMICOS Y FARMACÉUTICOS</t>
  </si>
  <si>
    <t>LLANTAS Y NEUMÁTICOS</t>
  </si>
  <si>
    <t>PRODUCTOS DE MINERALES NO METÁLICOS Y PLÁSTICOS</t>
  </si>
  <si>
    <t>PRODUCTOS METÁLICOS</t>
  </si>
  <si>
    <t>HERRAMIENTAS MENORES</t>
  </si>
  <si>
    <t>MATERIAL DE LIMPIEZA E HIGIENE</t>
  </si>
  <si>
    <t>OTROS REPUESTOS Y ACCESORIOS</t>
  </si>
  <si>
    <t>OTROS MATERIALES Y SUMINISTROS</t>
  </si>
  <si>
    <t>COMUNICACIONES</t>
  </si>
  <si>
    <t>ÚTILES DE ESCRITORIO Y OFICINA</t>
  </si>
  <si>
    <t>Disminuir la ocurrencia de incidentes y eventos mediante una gestión de riesgos basada en enfoques reactivos, proactivos y predictivos.</t>
  </si>
  <si>
    <t xml:space="preserve"> Fortalecer el sistema de notificaciones de seguridad operacional asegurando el procesamiento integral de la información y la retroalimentación oportuna para una identificación temprana de peligros.</t>
  </si>
  <si>
    <t>Fomentar una cultura de seguridad y competencia técnica mediante programas de capacitación continua, difusión de la política y fortalecimiento de una Cultura Justa.</t>
  </si>
  <si>
    <t>Alcanzar un Sistema de Seguridad Operacional que ofrezca un Nivel Aceptable de Seguridad Operacional en la empresa, logrando una implementación operativa y eficaz del SMS.</t>
  </si>
  <si>
    <t>Perspectiva Estratégica</t>
  </si>
  <si>
    <t>Fortalecer al 100% la gestión institucional mediante la modernización administrativa, la mejora continua y la innovación institucional al 2030.</t>
  </si>
  <si>
    <r>
      <t xml:space="preserve">Acción de Corto Plazo (POA 2027) </t>
    </r>
    <r>
      <rPr>
        <b/>
        <sz val="11"/>
        <color rgb="FFFF0000"/>
        <rFont val="Calibri"/>
        <family val="2"/>
        <scheme val="minor"/>
      </rPr>
      <t xml:space="preserve">Propuesta 1 </t>
    </r>
  </si>
  <si>
    <r>
      <t xml:space="preserve">Acción de Corto Plazo (POA 2027)                </t>
    </r>
    <r>
      <rPr>
        <b/>
        <sz val="11"/>
        <color rgb="FFFF0000"/>
        <rFont val="Calibri"/>
        <family val="2"/>
        <scheme val="minor"/>
      </rPr>
      <t>Propuesta 2</t>
    </r>
  </si>
  <si>
    <r>
      <t xml:space="preserve">Propuesta Objetivo Estratégico Empresarial PEE 2026-2030                               </t>
    </r>
    <r>
      <rPr>
        <b/>
        <sz val="11"/>
        <color rgb="FFFF0000"/>
        <rFont val="Calibri"/>
        <family val="2"/>
        <scheme val="minor"/>
      </rPr>
      <t>(Sujeto a Revision por las Gerencias EPTAM)</t>
    </r>
  </si>
  <si>
    <r>
      <t>ACP 2:</t>
    </r>
    <r>
      <rPr>
        <sz val="11"/>
        <color theme="1"/>
        <rFont val="Calibri"/>
        <family val="2"/>
        <scheme val="minor"/>
      </rPr>
      <t xml:space="preserve"> Gestión Comercial.</t>
    </r>
  </si>
  <si>
    <r>
      <t>ACP 3:</t>
    </r>
    <r>
      <rPr>
        <sz val="11"/>
        <color theme="1"/>
        <rFont val="Calibri"/>
        <family val="2"/>
        <scheme val="minor"/>
      </rPr>
      <t xml:space="preserve"> Gestión Operativa Aeronáutica.</t>
    </r>
  </si>
  <si>
    <t>Desarrollar la gestión institucional mediante la mejora continua de los procesos, la innovación tecnológica y la promoción de una gestión transparente.</t>
  </si>
  <si>
    <r>
      <t xml:space="preserve">Resultado Estrategico PEE </t>
    </r>
    <r>
      <rPr>
        <b/>
        <sz val="11"/>
        <color rgb="FFFF0000"/>
        <rFont val="Calibri"/>
        <family val="2"/>
        <scheme val="minor"/>
      </rPr>
      <t>(Propuesta)</t>
    </r>
  </si>
  <si>
    <t>CODIGO RESULTADO ESTRATÉGICO</t>
  </si>
  <si>
    <t>596.1</t>
  </si>
  <si>
    <t>596.2</t>
  </si>
  <si>
    <t>596.3</t>
  </si>
  <si>
    <t>596.4</t>
  </si>
  <si>
    <t>Indicador</t>
  </si>
  <si>
    <t>Unidad</t>
  </si>
  <si>
    <t>Fórmula</t>
  </si>
  <si>
    <t>Línea Base</t>
  </si>
  <si>
    <t>Meta 2030</t>
  </si>
  <si>
    <t>Brecha</t>
  </si>
  <si>
    <t>Entidad</t>
  </si>
  <si>
    <t>Responsable</t>
  </si>
  <si>
    <t>INDICADOR</t>
  </si>
  <si>
    <t>porcentaje</t>
  </si>
  <si>
    <t>EPTAM</t>
  </si>
  <si>
    <t>Número</t>
  </si>
  <si>
    <t>de acuerdo a datos de Gerencia Comercial</t>
  </si>
  <si>
    <t>de acuerdo a programación de gerencia comercial</t>
  </si>
  <si>
    <t>Asesoria juridica, Unidad de Planificación, Gerencia de Informatica, UAI, ODECO, CIAC, Unidad de Transparencia y LCC.</t>
  </si>
  <si>
    <t>Presupuesto Quinquenal</t>
  </si>
  <si>
    <t>PROGRAMACIÓN FÍSICA</t>
  </si>
  <si>
    <t>PROGRAMACIÓN FINANCIERA</t>
  </si>
  <si>
    <t>PLANIFICACIÓN NACIONAL</t>
  </si>
  <si>
    <t>COD EJE PGDESA</t>
  </si>
  <si>
    <t>Objetivo de Impacto</t>
  </si>
  <si>
    <t>COD COMPONENTE PDESA</t>
  </si>
  <si>
    <t>Objetivo de Efecto</t>
  </si>
  <si>
    <t>Eje 5:  Bolivia Transparente</t>
  </si>
  <si>
    <t>Se han recuperado las bases del Estado democrático y social de derecho</t>
  </si>
  <si>
    <t>5.5.            Seguridad Integral y Defensa del Estado</t>
  </si>
  <si>
    <t>Se han generado condiciones de seguridad para el Estado boliviano que otorgan las garantías necesarias para el desenvolvimiento armónico y pacífico de sus actividades economicas, politicas, sociales, cientificas tecnologicas y culturales.</t>
  </si>
  <si>
    <t>Eje 2: Bolivia al Mundo y el Mundo a Bolivia</t>
  </si>
  <si>
    <t>Bolivia ha consolidado su posicionamiento como actor estratégico geoeconómico y geopolítico en el sistema internacional.</t>
  </si>
  <si>
    <t>2.1. Posicionamiento estratégico</t>
  </si>
  <si>
    <t>Bolivia ha posicionado estratégicamente sus potencialidades en el ámbito internacional, convirtiéndose en un país atractivo para el turismo sostenible y cultural.</t>
  </si>
  <si>
    <t>Eje 4: Bolivia Moderna y eficiente</t>
  </si>
  <si>
    <t>Se han fortalecido las instituciones del Estado y modernizado sus servicios para hacerlos mas eficientes y eficaces</t>
  </si>
  <si>
    <t>4.2.                       Gobierno Electronico y Transformación Digital</t>
  </si>
  <si>
    <t>Se han automatizado y articulado procesos y servicios sencibles para la poblacion</t>
  </si>
  <si>
    <t>Toneladas de carga y correo transportados.</t>
  </si>
  <si>
    <t>toneladas</t>
  </si>
  <si>
    <t>Numero</t>
  </si>
  <si>
    <t>de acuerdo a programación de la gerencia de operaciones</t>
  </si>
  <si>
    <t>GERENCIA DE OPERACIONES</t>
  </si>
  <si>
    <t>Resultado del Sector</t>
  </si>
  <si>
    <r>
      <t xml:space="preserve">PLANIFICACION EMPRESARIAL PEE 2026-2030 </t>
    </r>
    <r>
      <rPr>
        <b/>
        <sz val="11"/>
        <color rgb="FFFF0000"/>
        <rFont val="Calibri"/>
        <family val="2"/>
        <scheme val="minor"/>
      </rPr>
      <t>(PROPUESTA)</t>
    </r>
  </si>
  <si>
    <t>Volumen de carga y correo transportado</t>
  </si>
  <si>
    <t>A DEFINIR POR EL MIN.DEF.</t>
  </si>
  <si>
    <t>PARTIDA</t>
  </si>
  <si>
    <t>OTROS ALQUILERES</t>
  </si>
  <si>
    <t>MANTTO.Y REPARACION DE INMUEBLES</t>
  </si>
  <si>
    <t>EQUIPO DE OFICINA Y MUEBLES</t>
  </si>
  <si>
    <t>EQUIPO DE COMPUTACION</t>
  </si>
  <si>
    <t>EQUIPO DE COMUNICACION</t>
  </si>
  <si>
    <t>EQUIPO EDUCACIONAL Y RECREATIVO</t>
  </si>
  <si>
    <t>GASTOS JUDICIALES</t>
  </si>
  <si>
    <t>INSTRUMENTAL MENOR MÉDICO-QUIRÚRGICO</t>
  </si>
  <si>
    <t>ÚTILES Y MATERIALES ELÉCTRICOS</t>
  </si>
  <si>
    <t>PERIODICOS Y BOLETINES</t>
  </si>
  <si>
    <t>CONSULTORIA POR PRODUCTO</t>
  </si>
  <si>
    <t>AUDITORIAS EXTERNAS</t>
  </si>
  <si>
    <t>PAGO POR TRABAJOS DIRIGIDOS Y PASANTIAS</t>
  </si>
  <si>
    <t xml:space="preserve">PAPEL </t>
  </si>
  <si>
    <t>PRODUCTOS DE ARTES GRAFICAS</t>
  </si>
  <si>
    <t>ENERGIA ELECTRICA</t>
  </si>
  <si>
    <t>AGUA</t>
  </si>
  <si>
    <t>TELEFONÍA</t>
  </si>
  <si>
    <t>INTERNET</t>
  </si>
  <si>
    <t>DISMINUCION DE OTROS PASIVOS Y OTRAS CUENTAS POR PAGAR A CORTO PLAZO</t>
  </si>
  <si>
    <t>TRANSFERENCIAS CORRIENTES A EMPRESAS PUBLICAS NACIONALES POR SUBSIDIOS O SUBVENCIONES</t>
  </si>
  <si>
    <t>IMPUESTO A LAS TRANSACCIONES</t>
  </si>
  <si>
    <t>IMPUESTO AL VALOR AGREGADO</t>
  </si>
  <si>
    <t>TASAS</t>
  </si>
  <si>
    <t>MULTAS</t>
  </si>
  <si>
    <t>INTERESES PENALES</t>
  </si>
  <si>
    <t>CONTINGENCIAS JUDICIALES Y OTRAS</t>
  </si>
  <si>
    <t>PÉRDIDAS EN OPERACIONES CAMBIARIAS</t>
  </si>
  <si>
    <t>DEVOLUCIONES</t>
  </si>
  <si>
    <t>GESTIONAR LAS DIFERENTES ACTIVIDADES DE LA JEFATURA ADMINISTRATIVA A TRAVES DE SUS SECCIONES EN EL MARCO DE LAS NORMAS VIGENTES</t>
  </si>
  <si>
    <t>GESTIONAR EL MANEJO DE LOS RECURSOS A TRAVES DE LAS DIFERENTES SECCIONES DEPENDIENTES D LA JEFATURA FINANCIERA</t>
  </si>
  <si>
    <t>HACER CUMPLIR LO ESTABLECIDO EN LOS REGLAMENTOS ESPECIFICOS DE LAS DIFERENTES SECCIONES DE LA GERENCIA DE ASUNTOS ADMINISTRATIVOS</t>
  </si>
  <si>
    <t>VIATICOS VIAJES AL EXTERIOR DEL PAIS</t>
  </si>
  <si>
    <t>MANTTO Y REP.DE MUEBLES Y ENSERES</t>
  </si>
  <si>
    <t>LIBROS, MANUALES Y REVISTAS</t>
  </si>
  <si>
    <t>COMISIONES POR VENTAS</t>
  </si>
  <si>
    <t>MANTTO.Y REPAR.VEHICULOS.MAQ. Y EQUIPOS</t>
  </si>
  <si>
    <t>CONFECCIONES TEXTILES</t>
  </si>
  <si>
    <t>OTRA MAQUINARIA Y EQUIPO</t>
  </si>
  <si>
    <t>OTROS GTOS.POR. CONCEPTO.INST.MANTTO. Y REPARACION</t>
  </si>
  <si>
    <t>SMS</t>
  </si>
  <si>
    <t>ALQUILER DE INMUEBLES</t>
  </si>
  <si>
    <t>ALIMENTACION HOSP,PENITENCIARIA Y OTRAS ESPECIFICAS</t>
  </si>
  <si>
    <t>PATENTES</t>
  </si>
  <si>
    <t>PLANIFICACION</t>
  </si>
  <si>
    <t>Realizar el Despacho de la Aeronave en Transporte de Pasajeros en Vuelos Regulares y No Regulares mediante el Sistema de Distribucion Global (GDS). Asimismo realizar la Documentacion de descargo referente a las operaciones de Despacho de Aeronave AVRO RJ70, Matricula CP-3106, ante la Gerencia General y Areas Administrativas dando cumplimiento al MSA (Manual de Servicio de Aeropuerto).</t>
  </si>
  <si>
    <t>GERENCIAS REGIONALES</t>
  </si>
  <si>
    <t>CODIGO POA</t>
  </si>
  <si>
    <t>GESTIONAR Y COORDINAR LA PLANIFICACION Y  EL DESARROLLO ORGANIZACIONAL DE LA EPTAM, EN EL MARCO DEL SOA Y EL SPO</t>
  </si>
  <si>
    <t>PLANIFICAR, ORGANIZAR, DESARROLLAR, EJECUTAR Y EVALUAR PROGRAMAS DE FORMACIÓN, CAPACITACIÓN, ENTRENAMIENTO Y ACTUALIZACIÓN DIRIGIDOS A ALUMNOS INTERESADOS EN EL CAMPO DE LA AVIACIÓN Y AL PERSONAL AERONÁUTICO, ASI AMPLIAR Y MATENER LAS COMPETENCIAS TÉCNICAS Y PROFESIONALES CONFORME A LA NORMATIVA AERONÁUTICA NACIONAL E INTERNACIONAL, CONTRIBUYENDO AL DESARROLLO SEGURO, EFICIENTE Y SOSTENIBLE DEL SISTEMA DE AVIACIÓN CIVIL.</t>
  </si>
  <si>
    <t>EJECUTAR EL CONTROL INTERNO POSTERIOR, MEDIANTE LA REALIZACIÓN DE TRABAJOS DE AUDITORIA DE MANDATO LEGAL Y OTROS PROGRAMADOS EN BASE A LA EVALUACIÓN DE RIESGOS DE LA EMPRESA PUBLICA TRANSPORTE AÉREO MILITAR; ASIMISMO, AQUELLAS INSTRUIDAS POR LAS INSTANCIAS COMPETENTES, LAS CUALES PERMITIRÁN EL LOGRO DE LOS OBJETIVOS DE LA EMPRESA.</t>
  </si>
  <si>
    <t>UNIDAD DE AUDITORIA INTERNA</t>
  </si>
  <si>
    <t>UNIDAD DE TRANSPARENCIA</t>
  </si>
  <si>
    <t>PROMOVER UNA GESTIÓN EMPRESARIAL PÚBLICA ADMINISTRATIVA TRANSPARENTE RESPECTO A LOS PROCESOS Y ACTIVIDADES REALIZADAS POR LA EPTAM.</t>
  </si>
  <si>
    <t xml:space="preserve">BRINDAR SOPORTE TÉCNICO (MANTENIMIENTO, PREVENTIVO YCORRECTIVO AL PARQUE INFORMATICO) DE EPTAM  </t>
  </si>
  <si>
    <t>RENOVACIÓN DEL SERVICIO DE HOSTING</t>
  </si>
  <si>
    <t xml:space="preserve">DESARROLLAR EL SISTEMA DE ACTIVOS FIJOS </t>
  </si>
  <si>
    <t>RENOVACIÓN DEL SERVICIO DE DOMINIO DE EPTAM.</t>
  </si>
  <si>
    <t>DESARROLLAR EL SISTEMA DE CONTROL DE ASISTENCIA</t>
  </si>
  <si>
    <t>DESARROLLAR EL SISTEMA DE SMS</t>
  </si>
  <si>
    <t>IMPLEMENTAR LA HERRAMIENTA MOODLE PARA EL CIAC</t>
  </si>
  <si>
    <t>DESARROLLAR, ADMINISTRAR, CONTROLAR Y SUPERVISAR LA GESTIÓN DE RECLAMACIONES DIRECTAS Y ADMINISTRATIVAS, COMO TAMBIÉN, LOS PROYECTOS DE GESTIÓN DE CALIDAD EN EL SERVICIO PARA LA MEJORA CONTINUA; EN CUMPLIMIENTO A LAS DISPOSICIONES EMITIDAS POR LAS AUTORIDADES COMPETENTES.</t>
  </si>
  <si>
    <t>GERENCIA DE INFORMATICA</t>
  </si>
  <si>
    <t>UNIDAD DE ASESORIA JURIDICA</t>
  </si>
  <si>
    <t>INTERPONER DEMANDAS, DEFENSA, REALIZAR EL SEGUIMIENTO A PROCESOS LABORALES, COACTIVOS, PENALES, CIVILES Y CONTENCIOSOS.</t>
  </si>
  <si>
    <t>RESPONDER A TRÁMITES ADMINISTRATIVOS INTERNOS O EXTERNOS, DIRECTORIO, ASÍ COMO DE LA FAB Y MINISTERIOS DEL ÁREA</t>
  </si>
  <si>
    <t>SEGUIMIENTO Y DEFENSA DE PROCESOS DE EJECUCION COACTIVA INICIADOS POR LA ATT, COORDINACIÓN DE PAGOS DE PROCESOSOS EJECUTORIADOS Y ACCIONES DE REPETICION.</t>
  </si>
  <si>
    <t>TOTAL</t>
  </si>
  <si>
    <t xml:space="preserve">TOTAL </t>
  </si>
  <si>
    <t>FOMENTAR UNA CULTURA DE SEGURIDAD Y COMPETENCIA TÉCNICA MEDIANTE PROGRAMAS DE CAPACITACIÓN CONTINUA, DIFUSIÓN DE LA POLÍTICA Y FORTALECIMIENTO DE UNA CULTURA JUSTA.</t>
  </si>
  <si>
    <t xml:space="preserve"> FORTALECER EL SISTEMA DE NOTIFICACIONES DE SEGURIDAD OPERACIONAL ASEGURANDO EL PROCESAMIENTO INTEGRAL DE LA INFORMACIÓN Y LA RETROALIMENTACIÓN OPORTUNA PARA UNA IDENTIFICACIÓN TEMPRANA DE PELIGROS.</t>
  </si>
  <si>
    <t>DISMINUIR LA OCURRENCIA DE INCIDENTES Y EVENTOS MEDIANTE UNA GESTIÓN DE RIESGOS BASADA EN ENFOQUES REACTIVOS, PROACTIVOS Y PREDICTIVOS.</t>
  </si>
  <si>
    <t xml:space="preserve">MANTENER VIGENTE EL CERTIFICADO
DE AERONAVEGABILIDAD
CONTINUA DE LA AERONAVE AVRO RJ70 MATRICULA CP3106, ANTE LA DIRECCIÓN GENERAL DE AERONÁUTICA CIVILDGAC, DANDO CUMPLIMIENTO AL
PM (PROGRAMA DE MANTENIMIENTO) Y AL MCM (MANUAL DE CONTROL DE
MANTENIMIENTO). </t>
  </si>
  <si>
    <t>DETERMINACION DE REQUERIMIENTOS 
PROGRAMA 1 - GESTION 2027</t>
  </si>
  <si>
    <t>(Expresado en Bolivianos)</t>
  </si>
  <si>
    <t>GERENCIA Y/O UNIDADES</t>
  </si>
  <si>
    <t>OPERACIÓN</t>
  </si>
  <si>
    <t>BIEN Y SERVICIO DEMANDADO</t>
  </si>
  <si>
    <t>PRESUPUESTO</t>
  </si>
  <si>
    <t>ODECO</t>
  </si>
  <si>
    <t xml:space="preserve">CIAC </t>
  </si>
  <si>
    <t>UNIDAD DE PLANIFICACION</t>
  </si>
  <si>
    <t>DETERMINACION DE REQUERIMIENTOS 
PROGRAMA 2 - GESTION 2027</t>
  </si>
  <si>
    <t>DETERMINACION DE REQUERIMIENTOS 
PROGRAMA 410 - GESTION 2027</t>
  </si>
  <si>
    <t>DETERMINACION DE REQUERIMIENTOS 
PROGRAMA 210 - GESTION 2027</t>
  </si>
  <si>
    <t>MES REQUERIDO</t>
  </si>
  <si>
    <t>ACCION A CORTO PLAZO 2027</t>
  </si>
  <si>
    <t>ENERO A DICIEMBRE</t>
  </si>
  <si>
    <t>ENERO A SEPTIEMBRE</t>
  </si>
  <si>
    <t>MARZO, SEPTIEMBRE, JULIO, DICIEMBRE</t>
  </si>
  <si>
    <t>GERENCIA  SEGURIDAD  OPERACIONAL Y ASEGURAMIENTO A LA CALIDAD</t>
  </si>
  <si>
    <t>Fortalecer la gestión institucional mediante la mejora continua de los procesos, la modernización tecnológica, y el fortalecimiento de la transparencia institucional a nivel nacional en el año 2027.</t>
  </si>
  <si>
    <t>Gestionar la prestación segura, eficiente y continua de las operaciones aeronáuticas mediante la gestión integral de la flota aérea, la aeronavegabilidad continua y el cumplimiento de los estándares de seguridad operacional a nivel nacional en la gestión 2027</t>
  </si>
  <si>
    <t>Gestionar la comercialización de los servicios de transporte aéreo en las Gerencias Regionales y puntos de atención a nivel nacional, mediante la venta y emisión de pasajes, la atención al pasajero, el despacho de aeronaves y el descargo de las operaciones aéreas, según corresponda, a través del GDS y conforme a normativa vigente.</t>
  </si>
  <si>
    <t>Planificar y desarrollar estrategias para la venta de boletos aereos mediante el sitema GDS</t>
  </si>
  <si>
    <t>Planificar estrategias para captar usuarios que requieran vuelos no regulares (charter).</t>
  </si>
  <si>
    <t>Fortalecer la comercializacion de transporte de carga, encomienda  y correo</t>
  </si>
  <si>
    <r>
      <t xml:space="preserve">Financiera   </t>
    </r>
    <r>
      <rPr>
        <sz val="11"/>
        <color theme="1"/>
        <rFont val="Calibri"/>
        <family val="2"/>
        <scheme val="minor"/>
      </rPr>
      <t>(GERENCIA DE ASUNTOS ADMINISTRATIVOS)</t>
    </r>
  </si>
  <si>
    <t>Consolidar una gestión administrativa y financiera eficiente, sostenible y transparente, mediante la optimización de los recursos institucionales, que contribuya a la continuidad y al desarrollo empresarial de la EPTAM al 2030.</t>
  </si>
  <si>
    <t>EPTAM cuenta con una gestión administrativa y financiera fortalecida, eficiente y transparente, con una adecuada ejecución de los recursos, control de costos y capacidad para sostener sus operaciones y contribuir al desarrollo empresarial.</t>
  </si>
  <si>
    <t>(N.º de metas de gestión administrativa y financiera cumplidas / N.º total de metas de gestión administrativa y financiera programadas) × 100</t>
  </si>
  <si>
    <t>Desarrollar la gestión administrativa y financiera de la EPTAM mediante la administración eficiente de los recursos financieros, humanos, materiales y patrimoniales, asegurando una ejecución presupuestaria oportuna y eficiente durante la gestión 2027.</t>
  </si>
  <si>
    <t>Gestión administrativa y financiera fortalecida, con una administración eficiente y oportuna de los recursos institucionales durante la gestión 2027.</t>
  </si>
  <si>
    <t>Cumplimiento de los objetivos institucionales y sostenibilidad financiera de la Empresa, respaldados por una administración eficiente de los recursos.</t>
  </si>
  <si>
    <r>
      <t xml:space="preserve">Cliente / Mercado   </t>
    </r>
    <r>
      <rPr>
        <sz val="11"/>
        <color theme="1"/>
        <rFont val="Calibri"/>
        <family val="2"/>
        <scheme val="minor"/>
      </rPr>
      <t>(GERENCIA COMERCIAL)</t>
    </r>
  </si>
  <si>
    <t>Incrementar la participación de la EPTAM en el mercado de transporte aéreo mediante el fortalecimiento de los servicios regulares y no regulares de pasajeros, carga y correo, a nivel nacional e internacional, contribuyendo al crecimiento y sostenibilidad empresarial al 2030.</t>
  </si>
  <si>
    <t>EPTAM ha incrementado su participación en el mercado aeronáutico mediante una mayor prestación y comercialización de servicios de transporte aéreo regular y no regular de pasajeros, carga y correo, fortaleciendo sus ingresos y su posicionamiento comercial.</t>
  </si>
  <si>
    <r>
      <t xml:space="preserve">Pasajeros Transportados </t>
    </r>
    <r>
      <rPr>
        <sz val="11"/>
        <color theme="4" tint="-0.249977111117893"/>
        <rFont val="Calibri"/>
        <family val="2"/>
        <scheme val="minor"/>
      </rPr>
      <t>o pasajes y/o boletos aéreos vendidos</t>
    </r>
  </si>
  <si>
    <r>
      <t xml:space="preserve">Nro de pasajeros transportados </t>
    </r>
    <r>
      <rPr>
        <sz val="11"/>
        <color theme="4" tint="-0.249977111117893"/>
        <rFont val="Calibri"/>
        <family val="2"/>
        <scheme val="minor"/>
      </rPr>
      <t>o pasajes y/o boletos aéreos vendidos</t>
    </r>
  </si>
  <si>
    <t>Desarrollar la gestión comercial de la EPTAM mediante la promoción, comercialización y fortalecimiento de los servicios de transporte aéreo de pasajeros, carga y correo, orientados al incremento de la participación en el mercado durante la gestión 2027.</t>
  </si>
  <si>
    <t>Comercialización y prestación de los servicios de transporte aéreo de pasajeros, carga y correo fortalecidas, con una mayor participación y posicionamiento de la EPTAM en el mercado nacional durante la gestión 2027</t>
  </si>
  <si>
    <r>
      <t xml:space="preserve">Procesos Internos </t>
    </r>
    <r>
      <rPr>
        <sz val="11"/>
        <color theme="1"/>
        <rFont val="Calibri"/>
        <family val="2"/>
        <scheme val="minor"/>
      </rPr>
      <t xml:space="preserve"> (GERENCIA SMS, AERONAVEGABILIDAD, OPERACIONES)</t>
    </r>
  </si>
  <si>
    <t>Fortalecer la capacidad operativa de la EPTAM mediante la disponibilidad y gestión eficiente de la flota aérea, la optimización de las operaciones aeronáuticas y el fortalecimiento de la seguridad operacional y la aeronavegabilidad continua al 2030.</t>
  </si>
  <si>
    <t>EPTAM ha fortalecido su capacidad operativa mediante una mayor disponibilidad de la flota aérea, operaciones aeronáuticas eficientes y seguras, y el cumplimiento de los requisitos de seguridad operacional y aeronavegabilidad continua.</t>
  </si>
  <si>
    <t>Aeronaves en condición aeronavegable y habilitadas para la operación</t>
  </si>
  <si>
    <t>Total de aeronaves que cumplen las condiciones de aeronavegabilidad y se encuentran habilitadas para la operación al cierre de la gestión.</t>
  </si>
  <si>
    <t>GERENCIA DE OPERACIONES / GERENCIA DE AERONAVEGABILIDAD CONTINUA / GERENCIA DE SEGURIDAD OPERACIONAL</t>
  </si>
  <si>
    <t>Desarrollar las operaciones aeronáuticas de la EPTAM mediante la gestión eficiente de la flota aérea, el mantenimiento de la aeronavegabilidad continua y la aplicación de medidas de seguridad operacional, asegurando una prestación segura, eficiente y continua de los servicios durante la gestión 2027.</t>
  </si>
  <si>
    <t>Flota operativa y aeronavegable, con seguridad operacional gestionada de forma permanente, para la prestación segura y eficiente de los servicios de transporte aéreo.</t>
  </si>
  <si>
    <t>Flota aérea operativa y aeronavegable, con cumplimiento permanente de los estándares de seguridad operacional a nivel nacional.</t>
  </si>
  <si>
    <t>Número de rutas Certificadas para la operación  por la DGAC</t>
  </si>
  <si>
    <t>Total de rutas certificadas para la operación al cierre de la gestión.</t>
  </si>
  <si>
    <t xml:space="preserve">Aprendizaje y Desarrollo </t>
  </si>
  <si>
    <t>EPTAM cuenta con una gestión institucional fortalecida, moderna, transparente e innovadora, con procesos mejorados y progresivamente digitalizados, orientados a incrementar la eficiencia institucional y la calidad de la gestión.</t>
  </si>
  <si>
    <t>Gestión institucional de la EPTAM modernizada, con procesos priorizados mejorados, herramientas digitales implementadas de forma progresiva, y mecanismos de transparencia y eficiencia institucional consolidados.</t>
  </si>
  <si>
    <t>Procesos institucionales optimizados y mecanismos de transparencia consolidados, en el marco de una gestión más eficiente, innovadora y orientada a resultados.</t>
  </si>
  <si>
    <t>TOTAL PRESUPUESTO QUINQUENAL EPTAM</t>
  </si>
  <si>
    <t>2 GESTIÓN FINANCIERA</t>
  </si>
  <si>
    <r>
      <t>ACP 1:</t>
    </r>
    <r>
      <rPr>
        <sz val="11"/>
        <color theme="1"/>
        <rFont val="Calibri"/>
        <family val="2"/>
        <scheme val="minor"/>
      </rPr>
      <t xml:space="preserve"> Gestión Financiera</t>
    </r>
  </si>
  <si>
    <t>410 SERVICIOS DE TRANSPORTE AÉREO</t>
  </si>
  <si>
    <t>210 OPERACIONES FLOTA EP-TAM</t>
  </si>
  <si>
    <t>1 ADM. CENTRAL</t>
  </si>
  <si>
    <r>
      <t>ACP 4:</t>
    </r>
    <r>
      <rPr>
        <sz val="11"/>
        <color theme="1"/>
        <rFont val="Calibri"/>
        <family val="2"/>
        <scheme val="minor"/>
      </rPr>
      <t xml:space="preserve"> Gestión Institucional  de apoyo y asesoramiento</t>
    </r>
  </si>
  <si>
    <t>CODIGO ACP</t>
  </si>
  <si>
    <t>PROGRAMA PRESUPUESTARIO</t>
  </si>
  <si>
    <r>
      <t xml:space="preserve">Resultado POA 2027          </t>
    </r>
    <r>
      <rPr>
        <b/>
        <sz val="11"/>
        <color rgb="FFFF0000"/>
        <rFont val="Calibri"/>
        <family val="2"/>
        <scheme val="minor"/>
      </rPr>
      <t xml:space="preserve">Propuesta 1 </t>
    </r>
  </si>
  <si>
    <r>
      <t xml:space="preserve">Resultado POA 2027              </t>
    </r>
    <r>
      <rPr>
        <b/>
        <sz val="11"/>
        <color rgb="FFFF0000"/>
        <rFont val="Calibri"/>
        <family val="2"/>
        <scheme val="minor"/>
      </rPr>
      <t>Propuesta 2</t>
    </r>
  </si>
  <si>
    <t>MANTENER VIGENTE EL CERTIFICADO DE OPERADOR AÉREO DE VUELOS REGULARES Y NO REGULARES TRANSPORTANDO PASAJEROS, CORREO Y CARGA NACIONAL E INTERNACIONAL, PARA CONTRIBUIR A LOS OBJETIVOS EMPRESARIALES DE LA EPTAM.</t>
  </si>
  <si>
    <t>PRODUCTO</t>
  </si>
  <si>
    <t>Gestión financiera empresarial fortalecida y transparente</t>
  </si>
  <si>
    <t>Servicios de transporte aéreo regular y no regular, nacional e internacional, de pasajeros, carga y correo, prestados conforme al giro empresarial establecido en el Artículo 3° del D.S. N° 3025, con mayor participación de mercado.</t>
  </si>
  <si>
    <t>Flota aérea disponible y aeronavegable, con operaciones aeronáuticas eficientes y seguras, en cumplimiento de la normativa aeronáutica vigente emitida por la DGAC</t>
  </si>
  <si>
    <t>Gestión administrativa institucional fortalecida, moderna y transparente</t>
  </si>
  <si>
    <t>% de cumplimiento de las metas de gestión financiera.</t>
  </si>
  <si>
    <t>% de cumplimiento de las metas de gestión administrativa</t>
  </si>
  <si>
    <t>(N.º de metas de gestión administrativa cumplidas / N.º total de metas de gestión administrativa programadas) × 100</t>
  </si>
  <si>
    <t>Fortalecer la gestión institucional mediante la mejora continua y modernización de los procesos, la transformación digital y el fortalecimiento de la transparencia en la gestión 2027.</t>
  </si>
  <si>
    <t>Fortalecer la gestión financiera de la Empresa Pública Transporte Aéreo Militar mediante la administración eficiente de los recursos, contribuyendo a la sostenibilidad y al desarrollo empresarial en la gestión 2027</t>
  </si>
  <si>
    <t>Gestionar la prestación segura, eficiente y continua de las operaciones aeronáuticas mediante la gestión integral de la flota aérea, la aeronavegabilidad continua y el cumplimiento de los estándares de seguridad operacional en la gestion 2027.</t>
  </si>
  <si>
    <t>Incrementar la participación en el mercado de transporte aéreo de pasajeros, carga y correo, mediante la implementación de estrategias comerciales, a nivel nacional en el año 2027</t>
  </si>
  <si>
    <t>Servicio de transporte aéreo de pasajeros, carga y correo prestado a nivel nacional, mediante la implementación de estrategias comerciales</t>
  </si>
  <si>
    <t>Gestionar las diferentes actividades de la Jefatura Administrativa a traves de sus diferentes Secciones en el marco de las normas vigentes.</t>
  </si>
  <si>
    <t>Gestionar el manejo de los recursos percobidos a traves de las diferentes secciones dependientes de la Jefatura Financiera</t>
  </si>
  <si>
    <t>Hacer cumplir lo establecido  en el Reglamento Especifico del Sistema de Administracion de Personal (RESAP) y Reglamento Interno de Personal (RIP)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</si>
</sst>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7" tint="-0.499984740745262"/>
        <bgColor theme="7" tint="-0.49998474074526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EEAF6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7" tint="0.39997558519241921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4" fillId="0" borderId="0"/>
    <xf numFmtId="164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0" fillId="0" borderId="0"/>
    <xf numFmtId="0" fontId="1" fillId="0" borderId="0"/>
    <xf numFmtId="43" fontId="1" fillId="0" borderId="0" applyFont="0" applyFill="0" applyBorder="0" applyProtection="0"/>
    <xf numFmtId="0" fontId="16" fillId="0" borderId="0"/>
  </cellStyleXfs>
  <cellXfs count="177">
    <xf numFmtId="0" fontId="0" fillId="0" borderId="0" xfId="0"/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/>
    </xf>
    <xf numFmtId="0" fontId="5" fillId="0" borderId="2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/>
    </xf>
    <xf numFmtId="9" fontId="0" fillId="0" borderId="8" xfId="5" applyFont="1" applyBorder="1" applyAlignment="1">
      <alignment vertical="center" wrapText="1"/>
    </xf>
    <xf numFmtId="0" fontId="2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4" fontId="2" fillId="0" borderId="0" xfId="0" applyNumberFormat="1" applyFont="1"/>
    <xf numFmtId="4" fontId="2" fillId="10" borderId="2" xfId="0" applyNumberFormat="1" applyFont="1" applyFill="1" applyBorder="1" applyAlignment="1">
      <alignment horizontal="right" vertical="center" wrapText="1"/>
    </xf>
    <xf numFmtId="4" fontId="2" fillId="10" borderId="2" xfId="0" applyNumberFormat="1" applyFont="1" applyFill="1" applyBorder="1" applyAlignment="1">
      <alignment vertical="center" wrapText="1"/>
    </xf>
    <xf numFmtId="4" fontId="2" fillId="11" borderId="2" xfId="0" applyNumberFormat="1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wrapText="1"/>
    </xf>
    <xf numFmtId="0" fontId="2" fillId="10" borderId="0" xfId="0" applyFont="1" applyFill="1" applyAlignment="1">
      <alignment wrapText="1"/>
    </xf>
    <xf numFmtId="0" fontId="2" fillId="12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wrapText="1"/>
    </xf>
    <xf numFmtId="0" fontId="2" fillId="10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1" applyFont="1" applyFill="1" applyBorder="1" applyAlignment="1">
      <alignment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center" wrapText="1"/>
    </xf>
    <xf numFmtId="4" fontId="2" fillId="10" borderId="0" xfId="0" applyNumberFormat="1" applyFont="1" applyFill="1" applyAlignment="1">
      <alignment vertical="center" wrapText="1"/>
    </xf>
    <xf numFmtId="4" fontId="11" fillId="10" borderId="0" xfId="0" applyNumberFormat="1" applyFont="1" applyFill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10" borderId="0" xfId="0" applyFont="1" applyFill="1" applyAlignment="1">
      <alignment horizontal="center" wrapText="1"/>
    </xf>
    <xf numFmtId="0" fontId="2" fillId="10" borderId="3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1" applyFont="1" applyFill="1" applyBorder="1" applyAlignment="1">
      <alignment horizontal="left" vertical="center" wrapText="1"/>
    </xf>
    <xf numFmtId="4" fontId="2" fillId="10" borderId="2" xfId="0" applyNumberFormat="1" applyFont="1" applyFill="1" applyBorder="1" applyAlignment="1">
      <alignment wrapText="1"/>
    </xf>
    <xf numFmtId="0" fontId="2" fillId="0" borderId="2" xfId="0" applyFont="1" applyBorder="1"/>
    <xf numFmtId="0" fontId="2" fillId="10" borderId="2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5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4" fontId="12" fillId="13" borderId="2" xfId="0" applyNumberFormat="1" applyFont="1" applyFill="1" applyBorder="1" applyAlignment="1">
      <alignment horizontal="right" vertical="center" wrapText="1"/>
    </xf>
    <xf numFmtId="4" fontId="12" fillId="13" borderId="2" xfId="0" applyNumberFormat="1" applyFont="1" applyFill="1" applyBorder="1" applyAlignment="1">
      <alignment vertical="center" wrapText="1"/>
    </xf>
    <xf numFmtId="4" fontId="2" fillId="0" borderId="0" xfId="0" applyNumberFormat="1" applyFont="1" applyAlignment="1">
      <alignment wrapText="1"/>
    </xf>
    <xf numFmtId="4" fontId="12" fillId="13" borderId="2" xfId="0" applyNumberFormat="1" applyFont="1" applyFill="1" applyBorder="1" applyAlignment="1">
      <alignment vertical="center"/>
    </xf>
    <xf numFmtId="0" fontId="12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" fontId="2" fillId="0" borderId="2" xfId="0" applyNumberFormat="1" applyFont="1" applyFill="1" applyBorder="1" applyAlignment="1">
      <alignment horizontal="right" vertical="center" wrapText="1"/>
    </xf>
    <xf numFmtId="4" fontId="2" fillId="0" borderId="2" xfId="0" applyNumberFormat="1" applyFont="1" applyFill="1" applyBorder="1" applyAlignment="1">
      <alignment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7" borderId="13" xfId="9" applyFont="1" applyFill="1" applyBorder="1" applyAlignment="1">
      <alignment horizontal="center" vertical="center" wrapText="1"/>
    </xf>
    <xf numFmtId="0" fontId="7" fillId="8" borderId="13" xfId="9" applyFont="1" applyFill="1" applyBorder="1" applyAlignment="1">
      <alignment horizontal="center" vertical="center" wrapText="1"/>
    </xf>
    <xf numFmtId="0" fontId="7" fillId="8" borderId="0" xfId="9" applyFont="1" applyFill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8" fillId="4" borderId="2" xfId="9" applyFont="1" applyFill="1" applyBorder="1" applyAlignment="1">
      <alignment horizontal="left" vertical="center" wrapText="1"/>
    </xf>
    <xf numFmtId="0" fontId="8" fillId="4" borderId="7" xfId="9" applyFont="1" applyFill="1" applyBorder="1" applyAlignment="1">
      <alignment horizontal="left" vertical="center" wrapText="1"/>
    </xf>
    <xf numFmtId="2" fontId="0" fillId="0" borderId="8" xfId="0" applyNumberFormat="1" applyBorder="1" applyAlignment="1">
      <alignment vertical="center" wrapText="1"/>
    </xf>
    <xf numFmtId="4" fontId="0" fillId="0" borderId="2" xfId="0" applyNumberFormat="1" applyBorder="1" applyAlignment="1">
      <alignment horizontal="right" vertical="center"/>
    </xf>
    <xf numFmtId="0" fontId="8" fillId="4" borderId="2" xfId="9" applyFont="1" applyFill="1" applyBorder="1" applyAlignment="1">
      <alignment horizontal="center" vertical="center" wrapText="1"/>
    </xf>
    <xf numFmtId="4" fontId="0" fillId="0" borderId="2" xfId="0" applyNumberFormat="1" applyBorder="1" applyAlignment="1">
      <alignment vertical="center"/>
    </xf>
    <xf numFmtId="4" fontId="5" fillId="15" borderId="2" xfId="0" applyNumberFormat="1" applyFont="1" applyFill="1" applyBorder="1"/>
    <xf numFmtId="0" fontId="9" fillId="16" borderId="0" xfId="0" applyFont="1" applyFill="1" applyBorder="1" applyAlignment="1">
      <alignment horizontal="center" vertical="center" wrapText="1"/>
    </xf>
    <xf numFmtId="0" fontId="0" fillId="10" borderId="0" xfId="0" applyFill="1"/>
    <xf numFmtId="0" fontId="0" fillId="10" borderId="2" xfId="0" applyNumberForma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vertical="top" wrapText="1"/>
    </xf>
    <xf numFmtId="0" fontId="9" fillId="6" borderId="10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0" fillId="17" borderId="2" xfId="0" applyFill="1" applyBorder="1" applyAlignment="1">
      <alignment vertical="center" wrapText="1"/>
    </xf>
    <xf numFmtId="0" fontId="0" fillId="10" borderId="2" xfId="0" applyFill="1" applyBorder="1" applyAlignment="1">
      <alignment horizontal="center" vertical="top" wrapText="1"/>
    </xf>
    <xf numFmtId="0" fontId="18" fillId="17" borderId="5" xfId="0" applyFont="1" applyFill="1" applyBorder="1" applyAlignment="1">
      <alignment horizontal="justify" vertical="center" wrapText="1"/>
    </xf>
    <xf numFmtId="0" fontId="0" fillId="10" borderId="2" xfId="0" applyFill="1" applyBorder="1" applyAlignment="1">
      <alignment vertical="top" wrapText="1"/>
    </xf>
    <xf numFmtId="0" fontId="5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top" wrapText="1"/>
    </xf>
    <xf numFmtId="0" fontId="0" fillId="10" borderId="3" xfId="0" applyFill="1" applyBorder="1" applyAlignment="1">
      <alignment horizontal="center" vertical="top" wrapText="1"/>
    </xf>
    <xf numFmtId="0" fontId="0" fillId="10" borderId="5" xfId="0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10" borderId="3" xfId="0" applyNumberFormat="1" applyFill="1" applyBorder="1" applyAlignment="1">
      <alignment horizontal="center" vertical="center" wrapText="1"/>
    </xf>
    <xf numFmtId="0" fontId="0" fillId="10" borderId="5" xfId="0" applyNumberFormat="1" applyFill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17" borderId="3" xfId="0" applyFill="1" applyBorder="1" applyAlignment="1">
      <alignment horizontal="center" vertical="top" wrapText="1"/>
    </xf>
    <xf numFmtId="0" fontId="0" fillId="17" borderId="5" xfId="0" applyFill="1" applyBorder="1" applyAlignment="1">
      <alignment horizontal="center" vertical="top" wrapText="1"/>
    </xf>
    <xf numFmtId="4" fontId="0" fillId="0" borderId="3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8" fillId="9" borderId="2" xfId="7" applyFont="1" applyFill="1" applyBorder="1" applyAlignment="1">
      <alignment horizontal="left" vertical="top" wrapText="1"/>
    </xf>
    <xf numFmtId="0" fontId="8" fillId="9" borderId="2" xfId="7" applyFont="1" applyFill="1" applyBorder="1" applyAlignment="1">
      <alignment horizontal="center" vertical="top" wrapText="1"/>
    </xf>
    <xf numFmtId="0" fontId="8" fillId="9" borderId="2" xfId="9" applyFont="1" applyFill="1" applyBorder="1" applyAlignment="1">
      <alignment horizontal="center" vertical="top" wrapText="1"/>
    </xf>
    <xf numFmtId="0" fontId="8" fillId="9" borderId="7" xfId="9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7" fillId="7" borderId="14" xfId="9" applyFont="1" applyFill="1" applyBorder="1" applyAlignment="1">
      <alignment horizontal="center" vertical="center" wrapText="1"/>
    </xf>
    <xf numFmtId="0" fontId="7" fillId="7" borderId="0" xfId="9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wrapText="1"/>
    </xf>
    <xf numFmtId="0" fontId="2" fillId="10" borderId="4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left" vertical="center" wrapText="1"/>
    </xf>
    <xf numFmtId="0" fontId="2" fillId="10" borderId="5" xfId="1" applyFont="1" applyFill="1" applyBorder="1" applyAlignment="1">
      <alignment horizontal="left" vertical="center" wrapText="1"/>
    </xf>
    <xf numFmtId="0" fontId="15" fillId="10" borderId="3" xfId="0" applyFont="1" applyFill="1" applyBorder="1" applyAlignment="1">
      <alignment horizontal="center" vertical="top" wrapText="1"/>
    </xf>
    <xf numFmtId="0" fontId="15" fillId="10" borderId="4" xfId="0" applyFont="1" applyFill="1" applyBorder="1" applyAlignment="1">
      <alignment horizontal="center" vertical="top" wrapText="1"/>
    </xf>
    <xf numFmtId="0" fontId="15" fillId="10" borderId="5" xfId="0" applyFont="1" applyFill="1" applyBorder="1" applyAlignment="1">
      <alignment horizontal="center" vertical="top" wrapText="1"/>
    </xf>
    <xf numFmtId="0" fontId="13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1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top" wrapText="1"/>
    </xf>
    <xf numFmtId="0" fontId="2" fillId="10" borderId="4" xfId="0" applyFont="1" applyFill="1" applyBorder="1" applyAlignment="1">
      <alignment horizontal="center" vertical="top" wrapText="1"/>
    </xf>
    <xf numFmtId="0" fontId="2" fillId="10" borderId="5" xfId="0" applyFont="1" applyFill="1" applyBorder="1" applyAlignment="1">
      <alignment horizontal="center" vertical="top" wrapText="1"/>
    </xf>
    <xf numFmtId="0" fontId="12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left" vertical="center" wrapText="1"/>
    </xf>
  </cellXfs>
  <cellStyles count="10">
    <cellStyle name="Millares 2" xfId="3" xr:uid="{00000000-0005-0000-0000-000000000000}"/>
    <cellStyle name="Millares 2 2" xfId="8" xr:uid="{00000000-0005-0000-0000-000001000000}"/>
    <cellStyle name="Normal" xfId="0" builtinId="0"/>
    <cellStyle name="Normal 2" xfId="2" xr:uid="{00000000-0005-0000-0000-000003000000}"/>
    <cellStyle name="Normal 2 2" xfId="7" xr:uid="{00000000-0005-0000-0000-000004000000}"/>
    <cellStyle name="Normal 3" xfId="6" xr:uid="{00000000-0005-0000-0000-000005000000}"/>
    <cellStyle name="Normal 3 2" xfId="9" xr:uid="{00000000-0005-0000-0000-000006000000}"/>
    <cellStyle name="Normal 4" xfId="4" xr:uid="{00000000-0005-0000-0000-000007000000}"/>
    <cellStyle name="Normal 5" xfId="1" xr:uid="{00000000-0005-0000-0000-000008000000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98425</xdr:colOff>
      <xdr:row>0</xdr:row>
      <xdr:rowOff>130175</xdr:rowOff>
    </xdr:from>
    <xdr:to>
      <xdr:col>4</xdr:col>
      <xdr:colOff>352425</xdr:colOff>
      <xdr:row>1</xdr:row>
      <xdr:rowOff>117475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25" y="130175"/>
          <a:ext cx="1095375" cy="384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32735</xdr:colOff>
      <xdr:row>0</xdr:row>
      <xdr:rowOff>0</xdr:rowOff>
    </xdr:from>
    <xdr:to>
      <xdr:col>4</xdr:col>
      <xdr:colOff>372460</xdr:colOff>
      <xdr:row>1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35" y="0"/>
          <a:ext cx="1106104" cy="3834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344610</xdr:colOff>
      <xdr:row>1</xdr:row>
      <xdr:rowOff>118696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1725" cy="387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173160</xdr:colOff>
      <xdr:row>0</xdr:row>
      <xdr:rowOff>385396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6610" cy="3853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"/>
  <sheetViews>
    <sheetView topLeftCell="AE4" zoomScale="110" zoomScaleNormal="110" workbookViewId="0">
      <selection activeCell="AJ2" sqref="AJ2"/>
    </sheetView>
  </sheetViews>
  <sheetFormatPr baseColWidth="10" defaultColWidth="19.5703125" defaultRowHeight="15" x14ac:dyDescent="0.25"/>
  <cols>
    <col min="1" max="1" width="12.85546875" customWidth="1"/>
    <col min="2" max="2" width="13.42578125" customWidth="1"/>
    <col min="3" max="3" width="15.7109375" customWidth="1"/>
    <col min="6" max="6" width="27.28515625" customWidth="1"/>
    <col min="7" max="7" width="25.5703125" customWidth="1"/>
    <col min="8" max="8" width="8.85546875" customWidth="1"/>
    <col min="9" max="10" width="24.140625" customWidth="1"/>
    <col min="11" max="11" width="14.85546875" customWidth="1"/>
    <col min="12" max="12" width="12" customWidth="1"/>
    <col min="14" max="14" width="7.85546875" customWidth="1"/>
    <col min="15" max="15" width="13.28515625" customWidth="1"/>
    <col min="16" max="16" width="12.7109375" customWidth="1"/>
    <col min="17" max="17" width="12.140625" customWidth="1"/>
    <col min="18" max="18" width="14.5703125" customWidth="1"/>
    <col min="19" max="19" width="7.28515625" customWidth="1"/>
    <col min="20" max="20" width="7" customWidth="1"/>
    <col min="21" max="21" width="7.140625" customWidth="1"/>
    <col min="22" max="22" width="7.42578125" customWidth="1"/>
    <col min="23" max="23" width="8.85546875" customWidth="1"/>
    <col min="24" max="24" width="22.42578125" customWidth="1"/>
    <col min="25" max="25" width="14.5703125" customWidth="1"/>
    <col min="26" max="26" width="13.7109375" customWidth="1"/>
    <col min="27" max="27" width="14.140625" customWidth="1"/>
    <col min="28" max="28" width="13.5703125" customWidth="1"/>
    <col min="29" max="29" width="14.85546875" customWidth="1"/>
    <col min="30" max="30" width="17.5703125" style="92" customWidth="1"/>
    <col min="31" max="31" width="15.140625" customWidth="1"/>
    <col min="32" max="32" width="29.5703125" customWidth="1"/>
    <col min="33" max="33" width="31.5703125" customWidth="1"/>
    <col min="34" max="34" width="27" customWidth="1"/>
  </cols>
  <sheetData>
    <row r="1" spans="1:35" ht="15" customHeight="1" x14ac:dyDescent="0.25">
      <c r="A1" s="136" t="s">
        <v>101</v>
      </c>
      <c r="B1" s="137"/>
      <c r="C1" s="137"/>
      <c r="D1" s="137"/>
      <c r="E1" s="137"/>
      <c r="F1" s="138" t="s">
        <v>124</v>
      </c>
      <c r="G1" s="138"/>
      <c r="H1" s="138"/>
      <c r="I1" s="138"/>
      <c r="J1" s="98"/>
      <c r="K1" s="139" t="s">
        <v>91</v>
      </c>
      <c r="L1" s="139"/>
      <c r="M1" s="139"/>
      <c r="N1" s="139"/>
      <c r="O1" s="139"/>
      <c r="P1" s="139"/>
      <c r="Q1" s="139"/>
      <c r="R1" s="140"/>
      <c r="S1" s="141" t="s">
        <v>99</v>
      </c>
      <c r="T1" s="141"/>
      <c r="U1" s="141"/>
      <c r="V1" s="141"/>
      <c r="W1" s="141"/>
      <c r="X1" s="142" t="s">
        <v>100</v>
      </c>
      <c r="Y1" s="142"/>
      <c r="Z1" s="142"/>
      <c r="AA1" s="142"/>
      <c r="AB1" s="142"/>
      <c r="AC1" s="142"/>
      <c r="AD1" s="91"/>
    </row>
    <row r="2" spans="1:35" ht="75" x14ac:dyDescent="0.25">
      <c r="A2" s="80" t="s">
        <v>102</v>
      </c>
      <c r="B2" s="80" t="s">
        <v>103</v>
      </c>
      <c r="C2" s="81" t="s">
        <v>104</v>
      </c>
      <c r="D2" s="81" t="s">
        <v>105</v>
      </c>
      <c r="E2" s="82" t="s">
        <v>123</v>
      </c>
      <c r="F2" s="75" t="s">
        <v>69</v>
      </c>
      <c r="G2" s="75" t="s">
        <v>73</v>
      </c>
      <c r="H2" s="75" t="s">
        <v>78</v>
      </c>
      <c r="I2" s="75" t="s">
        <v>77</v>
      </c>
      <c r="J2" s="99" t="s">
        <v>266</v>
      </c>
      <c r="K2" s="72" t="s">
        <v>83</v>
      </c>
      <c r="L2" s="9" t="s">
        <v>84</v>
      </c>
      <c r="M2" s="9" t="s">
        <v>85</v>
      </c>
      <c r="N2" s="9" t="s">
        <v>86</v>
      </c>
      <c r="O2" s="9" t="s">
        <v>87</v>
      </c>
      <c r="P2" s="9" t="s">
        <v>88</v>
      </c>
      <c r="Q2" s="9" t="s">
        <v>89</v>
      </c>
      <c r="R2" s="10" t="s">
        <v>90</v>
      </c>
      <c r="S2" s="73">
        <v>2026</v>
      </c>
      <c r="T2" s="73">
        <v>2027</v>
      </c>
      <c r="U2" s="73">
        <v>2028</v>
      </c>
      <c r="V2" s="73">
        <v>2029</v>
      </c>
      <c r="W2" s="73">
        <v>2030</v>
      </c>
      <c r="X2" s="74" t="s">
        <v>98</v>
      </c>
      <c r="Y2" s="83">
        <v>2026</v>
      </c>
      <c r="Z2" s="83">
        <v>2027</v>
      </c>
      <c r="AA2" s="74">
        <v>2028</v>
      </c>
      <c r="AB2" s="74">
        <v>2029</v>
      </c>
      <c r="AC2" s="96">
        <v>2030</v>
      </c>
      <c r="AD2" s="97" t="s">
        <v>262</v>
      </c>
      <c r="AE2" s="79" t="s">
        <v>261</v>
      </c>
      <c r="AF2" s="6" t="s">
        <v>71</v>
      </c>
      <c r="AG2" s="94" t="s">
        <v>72</v>
      </c>
      <c r="AH2" s="78" t="s">
        <v>263</v>
      </c>
      <c r="AI2" s="104" t="s">
        <v>264</v>
      </c>
    </row>
    <row r="3" spans="1:35" ht="159.75" customHeight="1" x14ac:dyDescent="0.25">
      <c r="A3" s="84" t="s">
        <v>106</v>
      </c>
      <c r="B3" s="84" t="s">
        <v>107</v>
      </c>
      <c r="C3" s="84" t="s">
        <v>108</v>
      </c>
      <c r="D3" s="84" t="s">
        <v>109</v>
      </c>
      <c r="E3" s="85" t="s">
        <v>126</v>
      </c>
      <c r="F3" s="1" t="s">
        <v>225</v>
      </c>
      <c r="G3" s="2" t="s">
        <v>226</v>
      </c>
      <c r="H3" s="77" t="s">
        <v>79</v>
      </c>
      <c r="I3" s="2" t="s">
        <v>227</v>
      </c>
      <c r="J3" s="11" t="s">
        <v>267</v>
      </c>
      <c r="K3" s="11" t="s">
        <v>271</v>
      </c>
      <c r="L3" s="11" t="s">
        <v>92</v>
      </c>
      <c r="M3" s="11" t="s">
        <v>228</v>
      </c>
      <c r="N3" s="11">
        <v>0</v>
      </c>
      <c r="O3" s="86">
        <v>100</v>
      </c>
      <c r="P3" s="11">
        <f>+O3-N3</f>
        <v>100</v>
      </c>
      <c r="Q3" s="11" t="s">
        <v>93</v>
      </c>
      <c r="R3" s="11" t="s">
        <v>39</v>
      </c>
      <c r="S3" s="13">
        <v>0.2</v>
      </c>
      <c r="T3" s="13">
        <v>0.4</v>
      </c>
      <c r="U3" s="13">
        <v>0.6</v>
      </c>
      <c r="V3" s="13">
        <v>0.8</v>
      </c>
      <c r="W3" s="13">
        <v>1</v>
      </c>
      <c r="X3" s="87">
        <f>SUM(Y3:AC3)</f>
        <v>125336775</v>
      </c>
      <c r="Y3" s="87">
        <v>12233923</v>
      </c>
      <c r="Z3" s="87">
        <v>15045401</v>
      </c>
      <c r="AA3" s="87">
        <v>31953886</v>
      </c>
      <c r="AB3" s="87">
        <v>32686984</v>
      </c>
      <c r="AC3" s="87">
        <v>33416581</v>
      </c>
      <c r="AD3" s="93" t="s">
        <v>255</v>
      </c>
      <c r="AE3" s="8" t="s">
        <v>256</v>
      </c>
      <c r="AF3" s="7" t="s">
        <v>229</v>
      </c>
      <c r="AG3" s="95" t="s">
        <v>275</v>
      </c>
      <c r="AH3" s="95" t="s">
        <v>230</v>
      </c>
      <c r="AI3" s="103" t="s">
        <v>231</v>
      </c>
    </row>
    <row r="4" spans="1:35" ht="72.75" customHeight="1" x14ac:dyDescent="0.25">
      <c r="A4" s="125" t="s">
        <v>110</v>
      </c>
      <c r="B4" s="126" t="s">
        <v>111</v>
      </c>
      <c r="C4" s="127" t="s">
        <v>112</v>
      </c>
      <c r="D4" s="127" t="s">
        <v>113</v>
      </c>
      <c r="E4" s="128"/>
      <c r="F4" s="133" t="s">
        <v>232</v>
      </c>
      <c r="G4" s="117" t="s">
        <v>233</v>
      </c>
      <c r="H4" s="117" t="s">
        <v>80</v>
      </c>
      <c r="I4" s="117" t="s">
        <v>234</v>
      </c>
      <c r="J4" s="134" t="s">
        <v>268</v>
      </c>
      <c r="K4" s="11" t="s">
        <v>235</v>
      </c>
      <c r="L4" s="11" t="s">
        <v>94</v>
      </c>
      <c r="M4" s="11" t="s">
        <v>236</v>
      </c>
      <c r="N4" s="11" t="s">
        <v>95</v>
      </c>
      <c r="O4" s="11" t="s">
        <v>96</v>
      </c>
      <c r="P4" s="11" t="e">
        <f>+O4-N4</f>
        <v>#VALUE!</v>
      </c>
      <c r="Q4" s="11" t="s">
        <v>93</v>
      </c>
      <c r="R4" s="11" t="s">
        <v>40</v>
      </c>
      <c r="S4" s="11"/>
      <c r="T4" s="11"/>
      <c r="U4" s="11"/>
      <c r="V4" s="11"/>
      <c r="W4" s="11"/>
      <c r="X4" s="113">
        <f>SUM(Y4:AC4)</f>
        <v>700124146</v>
      </c>
      <c r="Y4" s="123">
        <v>12081791</v>
      </c>
      <c r="Z4" s="123">
        <v>91526192</v>
      </c>
      <c r="AA4" s="123">
        <v>194386140</v>
      </c>
      <c r="AB4" s="123">
        <v>198845821</v>
      </c>
      <c r="AC4" s="123">
        <v>203284202</v>
      </c>
      <c r="AD4" s="111" t="s">
        <v>257</v>
      </c>
      <c r="AE4" s="115" t="s">
        <v>74</v>
      </c>
      <c r="AF4" s="129" t="s">
        <v>237</v>
      </c>
      <c r="AG4" s="119" t="s">
        <v>277</v>
      </c>
      <c r="AH4" s="120" t="s">
        <v>238</v>
      </c>
      <c r="AI4" s="121" t="s">
        <v>278</v>
      </c>
    </row>
    <row r="5" spans="1:35" ht="100.5" customHeight="1" x14ac:dyDescent="0.25">
      <c r="A5" s="125"/>
      <c r="B5" s="126"/>
      <c r="C5" s="127"/>
      <c r="D5" s="127"/>
      <c r="E5" s="128"/>
      <c r="F5" s="133"/>
      <c r="G5" s="117"/>
      <c r="H5" s="117"/>
      <c r="I5" s="117"/>
      <c r="J5" s="135"/>
      <c r="K5" s="11" t="s">
        <v>118</v>
      </c>
      <c r="L5" s="12" t="s">
        <v>119</v>
      </c>
      <c r="M5" s="12" t="s">
        <v>125</v>
      </c>
      <c r="N5" s="11" t="s">
        <v>95</v>
      </c>
      <c r="O5" s="11" t="s">
        <v>96</v>
      </c>
      <c r="P5" s="2"/>
      <c r="Q5" s="11" t="s">
        <v>93</v>
      </c>
      <c r="R5" s="11" t="s">
        <v>40</v>
      </c>
      <c r="S5" s="2"/>
      <c r="T5" s="2"/>
      <c r="U5" s="11"/>
      <c r="V5" s="11"/>
      <c r="W5" s="11"/>
      <c r="X5" s="114"/>
      <c r="Y5" s="124"/>
      <c r="Z5" s="124"/>
      <c r="AA5" s="124"/>
      <c r="AB5" s="124"/>
      <c r="AC5" s="124"/>
      <c r="AD5" s="112"/>
      <c r="AE5" s="116"/>
      <c r="AF5" s="129"/>
      <c r="AG5" s="119"/>
      <c r="AH5" s="120"/>
      <c r="AI5" s="122"/>
    </row>
    <row r="6" spans="1:35" s="4" customFormat="1" ht="93" customHeight="1" x14ac:dyDescent="0.25">
      <c r="A6" s="125" t="s">
        <v>110</v>
      </c>
      <c r="B6" s="126" t="s">
        <v>111</v>
      </c>
      <c r="C6" s="127" t="s">
        <v>112</v>
      </c>
      <c r="D6" s="127" t="s">
        <v>113</v>
      </c>
      <c r="E6" s="128"/>
      <c r="F6" s="129" t="s">
        <v>239</v>
      </c>
      <c r="G6" s="120" t="s">
        <v>240</v>
      </c>
      <c r="H6" s="120" t="s">
        <v>81</v>
      </c>
      <c r="I6" s="130" t="s">
        <v>241</v>
      </c>
      <c r="J6" s="131" t="s">
        <v>269</v>
      </c>
      <c r="K6" s="11" t="s">
        <v>242</v>
      </c>
      <c r="L6" s="11" t="s">
        <v>94</v>
      </c>
      <c r="M6" s="11" t="s">
        <v>243</v>
      </c>
      <c r="N6" s="11">
        <v>1</v>
      </c>
      <c r="O6" s="11">
        <v>3</v>
      </c>
      <c r="P6" s="11">
        <f>+O6-N6</f>
        <v>2</v>
      </c>
      <c r="Q6" s="11" t="s">
        <v>93</v>
      </c>
      <c r="R6" s="11" t="s">
        <v>244</v>
      </c>
      <c r="S6" s="11">
        <v>1</v>
      </c>
      <c r="T6" s="11">
        <v>1</v>
      </c>
      <c r="U6" s="11">
        <v>2</v>
      </c>
      <c r="V6" s="11">
        <v>2</v>
      </c>
      <c r="W6" s="11">
        <v>3</v>
      </c>
      <c r="X6" s="113">
        <f>SUM(Y6:AC6)</f>
        <v>163233869</v>
      </c>
      <c r="Y6" s="113">
        <v>31280541</v>
      </c>
      <c r="Z6" s="113">
        <v>17552968</v>
      </c>
      <c r="AA6" s="113">
        <v>37279534</v>
      </c>
      <c r="AB6" s="113">
        <v>38134815</v>
      </c>
      <c r="AC6" s="113">
        <v>38986011</v>
      </c>
      <c r="AD6" s="111" t="s">
        <v>258</v>
      </c>
      <c r="AE6" s="115" t="s">
        <v>75</v>
      </c>
      <c r="AF6" s="117" t="s">
        <v>245</v>
      </c>
      <c r="AG6" s="118" t="s">
        <v>276</v>
      </c>
      <c r="AH6" s="118" t="s">
        <v>246</v>
      </c>
      <c r="AI6" s="108" t="s">
        <v>247</v>
      </c>
    </row>
    <row r="7" spans="1:35" s="4" customFormat="1" ht="56.25" customHeight="1" x14ac:dyDescent="0.25">
      <c r="A7" s="125"/>
      <c r="B7" s="126"/>
      <c r="C7" s="127"/>
      <c r="D7" s="127"/>
      <c r="E7" s="128"/>
      <c r="F7" s="129"/>
      <c r="G7" s="120"/>
      <c r="H7" s="120"/>
      <c r="I7" s="130"/>
      <c r="J7" s="132"/>
      <c r="K7" s="11" t="s">
        <v>248</v>
      </c>
      <c r="L7" s="11" t="s">
        <v>120</v>
      </c>
      <c r="M7" s="11" t="s">
        <v>249</v>
      </c>
      <c r="N7" s="11">
        <v>4</v>
      </c>
      <c r="O7" s="11" t="s">
        <v>121</v>
      </c>
      <c r="P7" s="11"/>
      <c r="Q7" s="11" t="s">
        <v>93</v>
      </c>
      <c r="R7" s="11" t="s">
        <v>122</v>
      </c>
      <c r="S7" s="11"/>
      <c r="T7" s="11"/>
      <c r="U7" s="11"/>
      <c r="V7" s="11"/>
      <c r="W7" s="11"/>
      <c r="X7" s="114"/>
      <c r="Y7" s="114"/>
      <c r="Z7" s="114"/>
      <c r="AA7" s="114"/>
      <c r="AB7" s="114"/>
      <c r="AC7" s="114"/>
      <c r="AD7" s="112"/>
      <c r="AE7" s="116"/>
      <c r="AF7" s="117"/>
      <c r="AG7" s="118"/>
      <c r="AH7" s="118"/>
      <c r="AI7" s="109"/>
    </row>
    <row r="8" spans="1:35" ht="198.75" customHeight="1" x14ac:dyDescent="0.25">
      <c r="A8" s="88" t="s">
        <v>114</v>
      </c>
      <c r="B8" s="84" t="s">
        <v>115</v>
      </c>
      <c r="C8" s="84" t="s">
        <v>116</v>
      </c>
      <c r="D8" s="84" t="s">
        <v>117</v>
      </c>
      <c r="E8" s="85"/>
      <c r="F8" s="5" t="s">
        <v>250</v>
      </c>
      <c r="G8" s="3" t="s">
        <v>70</v>
      </c>
      <c r="H8" s="76" t="s">
        <v>82</v>
      </c>
      <c r="I8" s="2" t="s">
        <v>251</v>
      </c>
      <c r="J8" s="11" t="s">
        <v>270</v>
      </c>
      <c r="K8" s="11" t="s">
        <v>272</v>
      </c>
      <c r="L8" s="11" t="s">
        <v>92</v>
      </c>
      <c r="M8" s="11" t="s">
        <v>273</v>
      </c>
      <c r="N8" s="11">
        <v>0</v>
      </c>
      <c r="O8" s="11">
        <v>1</v>
      </c>
      <c r="P8" s="11">
        <f>+O8-N8</f>
        <v>1</v>
      </c>
      <c r="Q8" s="11" t="s">
        <v>93</v>
      </c>
      <c r="R8" s="11" t="s">
        <v>97</v>
      </c>
      <c r="S8" s="13">
        <v>0.2</v>
      </c>
      <c r="T8" s="13">
        <v>0.4</v>
      </c>
      <c r="U8" s="13">
        <v>0.6</v>
      </c>
      <c r="V8" s="13">
        <v>0.8</v>
      </c>
      <c r="W8" s="13">
        <v>1</v>
      </c>
      <c r="X8" s="89">
        <f>SUM(Y8:AC8)</f>
        <v>10256281</v>
      </c>
      <c r="Y8" s="89">
        <v>831044</v>
      </c>
      <c r="Z8" s="89">
        <v>1253783</v>
      </c>
      <c r="AA8" s="89">
        <v>2662824</v>
      </c>
      <c r="AB8" s="89">
        <v>2723915</v>
      </c>
      <c r="AC8" s="89">
        <v>2784715</v>
      </c>
      <c r="AD8" s="93" t="s">
        <v>259</v>
      </c>
      <c r="AE8" s="1" t="s">
        <v>260</v>
      </c>
      <c r="AF8" s="101" t="s">
        <v>76</v>
      </c>
      <c r="AG8" s="100" t="s">
        <v>274</v>
      </c>
      <c r="AH8" s="102" t="s">
        <v>252</v>
      </c>
      <c r="AI8" s="103" t="s">
        <v>253</v>
      </c>
    </row>
    <row r="9" spans="1:35" x14ac:dyDescent="0.25">
      <c r="S9" s="110" t="s">
        <v>254</v>
      </c>
      <c r="T9" s="110"/>
      <c r="U9" s="110"/>
      <c r="V9" s="110"/>
      <c r="W9" s="110"/>
      <c r="X9" s="90">
        <f>SUM(X3:X8)</f>
        <v>998951071</v>
      </c>
    </row>
    <row r="10" spans="1:35" x14ac:dyDescent="0.25">
      <c r="AG10" s="2"/>
    </row>
  </sheetData>
  <mergeCells count="50">
    <mergeCell ref="A4:A5"/>
    <mergeCell ref="B4:B5"/>
    <mergeCell ref="C4:C5"/>
    <mergeCell ref="D4:D5"/>
    <mergeCell ref="E4:E5"/>
    <mergeCell ref="A1:E1"/>
    <mergeCell ref="F1:I1"/>
    <mergeCell ref="K1:R1"/>
    <mergeCell ref="S1:W1"/>
    <mergeCell ref="X1:AC1"/>
    <mergeCell ref="AF4:AF5"/>
    <mergeCell ref="F4:F5"/>
    <mergeCell ref="G4:G5"/>
    <mergeCell ref="H4:H5"/>
    <mergeCell ref="I4:I5"/>
    <mergeCell ref="X4:X5"/>
    <mergeCell ref="Y4:Y5"/>
    <mergeCell ref="J4:J5"/>
    <mergeCell ref="F6:F7"/>
    <mergeCell ref="G6:G7"/>
    <mergeCell ref="Z4:Z5"/>
    <mergeCell ref="AA4:AA5"/>
    <mergeCell ref="AB4:AB5"/>
    <mergeCell ref="H6:H7"/>
    <mergeCell ref="I6:I7"/>
    <mergeCell ref="X6:X7"/>
    <mergeCell ref="Y6:Y7"/>
    <mergeCell ref="Z6:Z7"/>
    <mergeCell ref="J6:J7"/>
    <mergeCell ref="A6:A7"/>
    <mergeCell ref="B6:B7"/>
    <mergeCell ref="C6:C7"/>
    <mergeCell ref="D6:D7"/>
    <mergeCell ref="E6:E7"/>
    <mergeCell ref="AI6:AI7"/>
    <mergeCell ref="S9:W9"/>
    <mergeCell ref="AD4:AD5"/>
    <mergeCell ref="AD6:AD7"/>
    <mergeCell ref="AB6:AB7"/>
    <mergeCell ref="AC6:AC7"/>
    <mergeCell ref="AE6:AE7"/>
    <mergeCell ref="AF6:AF7"/>
    <mergeCell ref="AG6:AG7"/>
    <mergeCell ref="AH6:AH7"/>
    <mergeCell ref="AA6:AA7"/>
    <mergeCell ref="AG4:AG5"/>
    <mergeCell ref="AH4:AH5"/>
    <mergeCell ref="AI4:AI5"/>
    <mergeCell ref="AC4:AC5"/>
    <mergeCell ref="AE4:AE5"/>
  </mergeCells>
  <pageMargins left="0.7" right="0.7" top="0.75" bottom="0.75" header="0.3" footer="0.3"/>
  <pageSetup paperSize="9" scale="63" fitToWidth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34"/>
  <sheetViews>
    <sheetView topLeftCell="D217" zoomScale="68" zoomScaleNormal="68" workbookViewId="0">
      <selection activeCell="U11" sqref="U11"/>
    </sheetView>
  </sheetViews>
  <sheetFormatPr baseColWidth="10" defaultRowHeight="14.25" x14ac:dyDescent="0.2"/>
  <cols>
    <col min="1" max="3" width="0" style="14" hidden="1" customWidth="1"/>
    <col min="4" max="4" width="11.42578125" style="14"/>
    <col min="5" max="5" width="20.42578125" style="40" customWidth="1"/>
    <col min="6" max="6" width="33.7109375" style="14" customWidth="1"/>
    <col min="7" max="7" width="13.7109375" style="14" customWidth="1"/>
    <col min="8" max="8" width="32.7109375" style="14" customWidth="1"/>
    <col min="9" max="9" width="29.7109375" style="14" customWidth="1"/>
    <col min="10" max="16384" width="11.42578125" style="14"/>
  </cols>
  <sheetData>
    <row r="1" spans="2:9" ht="15" thickBot="1" x14ac:dyDescent="0.25"/>
    <row r="2" spans="2:9" ht="75" x14ac:dyDescent="0.2">
      <c r="B2" s="15" t="s">
        <v>0</v>
      </c>
      <c r="C2" s="16" t="s">
        <v>1</v>
      </c>
      <c r="D2" s="45"/>
      <c r="E2" s="46" t="s">
        <v>5</v>
      </c>
      <c r="F2" s="46" t="s">
        <v>2</v>
      </c>
      <c r="G2" s="46" t="s">
        <v>127</v>
      </c>
      <c r="H2" s="46" t="s">
        <v>3</v>
      </c>
      <c r="I2" s="46" t="s">
        <v>4</v>
      </c>
    </row>
    <row r="3" spans="2:9" s="24" customFormat="1" ht="45.75" customHeight="1" x14ac:dyDescent="0.2">
      <c r="B3" s="144"/>
      <c r="C3" s="151"/>
      <c r="D3" s="150">
        <v>1</v>
      </c>
      <c r="E3" s="143" t="s">
        <v>172</v>
      </c>
      <c r="F3" s="146" t="s">
        <v>33</v>
      </c>
      <c r="G3" s="22">
        <v>25600</v>
      </c>
      <c r="H3" s="23" t="s">
        <v>14</v>
      </c>
      <c r="I3" s="19">
        <v>1200</v>
      </c>
    </row>
    <row r="4" spans="2:9" s="24" customFormat="1" ht="28.5" x14ac:dyDescent="0.2">
      <c r="B4" s="144"/>
      <c r="C4" s="151"/>
      <c r="D4" s="150"/>
      <c r="E4" s="144"/>
      <c r="F4" s="146"/>
      <c r="G4" s="22">
        <v>25700</v>
      </c>
      <c r="H4" s="23" t="s">
        <v>15</v>
      </c>
      <c r="I4" s="19">
        <v>700</v>
      </c>
    </row>
    <row r="5" spans="2:9" s="24" customFormat="1" ht="28.5" x14ac:dyDescent="0.2">
      <c r="B5" s="144"/>
      <c r="C5" s="151"/>
      <c r="D5" s="150"/>
      <c r="E5" s="144"/>
      <c r="F5" s="146"/>
      <c r="G5" s="22">
        <v>25220</v>
      </c>
      <c r="H5" s="23" t="s">
        <v>10</v>
      </c>
      <c r="I5" s="19">
        <v>16500</v>
      </c>
    </row>
    <row r="6" spans="2:9" s="24" customFormat="1" x14ac:dyDescent="0.2">
      <c r="B6" s="144"/>
      <c r="C6" s="151"/>
      <c r="D6" s="150"/>
      <c r="E6" s="145"/>
      <c r="F6" s="146"/>
      <c r="G6" s="22">
        <v>43120</v>
      </c>
      <c r="H6" s="25" t="s">
        <v>131</v>
      </c>
      <c r="I6" s="19">
        <v>7500</v>
      </c>
    </row>
    <row r="7" spans="2:9" s="24" customFormat="1" ht="27" customHeight="1" x14ac:dyDescent="0.2">
      <c r="B7" s="144"/>
      <c r="C7" s="151"/>
      <c r="D7" s="150"/>
      <c r="E7" s="143" t="s">
        <v>6</v>
      </c>
      <c r="F7" s="146" t="s">
        <v>7</v>
      </c>
      <c r="G7" s="26">
        <v>25220</v>
      </c>
      <c r="H7" s="25" t="s">
        <v>10</v>
      </c>
      <c r="I7" s="19">
        <v>190368</v>
      </c>
    </row>
    <row r="8" spans="2:9" s="24" customFormat="1" ht="28.5" x14ac:dyDescent="0.2">
      <c r="B8" s="144"/>
      <c r="C8" s="151"/>
      <c r="D8" s="150"/>
      <c r="E8" s="144"/>
      <c r="F8" s="146"/>
      <c r="G8" s="26">
        <v>22110</v>
      </c>
      <c r="H8" s="25" t="s">
        <v>11</v>
      </c>
      <c r="I8" s="19">
        <v>400</v>
      </c>
    </row>
    <row r="9" spans="2:9" s="24" customFormat="1" ht="28.5" x14ac:dyDescent="0.2">
      <c r="B9" s="144"/>
      <c r="C9" s="151"/>
      <c r="D9" s="150"/>
      <c r="E9" s="144"/>
      <c r="F9" s="146"/>
      <c r="G9" s="26">
        <v>22210</v>
      </c>
      <c r="H9" s="25" t="s">
        <v>12</v>
      </c>
      <c r="I9" s="19">
        <v>2968</v>
      </c>
    </row>
    <row r="10" spans="2:9" s="24" customFormat="1" x14ac:dyDescent="0.2">
      <c r="B10" s="144"/>
      <c r="C10" s="151"/>
      <c r="D10" s="150"/>
      <c r="E10" s="144"/>
      <c r="F10" s="146"/>
      <c r="G10" s="26">
        <v>23400</v>
      </c>
      <c r="H10" s="25" t="s">
        <v>128</v>
      </c>
      <c r="I10" s="19">
        <v>20000</v>
      </c>
    </row>
    <row r="11" spans="2:9" s="24" customFormat="1" ht="28.5" x14ac:dyDescent="0.2">
      <c r="B11" s="144"/>
      <c r="C11" s="151"/>
      <c r="D11" s="150"/>
      <c r="E11" s="144"/>
      <c r="F11" s="146"/>
      <c r="G11" s="26">
        <v>24110</v>
      </c>
      <c r="H11" s="25" t="s">
        <v>129</v>
      </c>
      <c r="I11" s="19">
        <v>8255</v>
      </c>
    </row>
    <row r="12" spans="2:9" s="24" customFormat="1" ht="42.75" x14ac:dyDescent="0.2">
      <c r="B12" s="144"/>
      <c r="C12" s="151"/>
      <c r="D12" s="150"/>
      <c r="E12" s="144"/>
      <c r="F12" s="146"/>
      <c r="G12" s="26">
        <v>25600</v>
      </c>
      <c r="H12" s="25" t="s">
        <v>14</v>
      </c>
      <c r="I12" s="19">
        <v>1500</v>
      </c>
    </row>
    <row r="13" spans="2:9" s="24" customFormat="1" x14ac:dyDescent="0.2">
      <c r="B13" s="144"/>
      <c r="C13" s="151"/>
      <c r="D13" s="150"/>
      <c r="E13" s="144"/>
      <c r="F13" s="146"/>
      <c r="G13" s="26">
        <v>26990</v>
      </c>
      <c r="H13" s="25" t="s">
        <v>51</v>
      </c>
      <c r="I13" s="19">
        <v>52910</v>
      </c>
    </row>
    <row r="14" spans="2:9" s="24" customFormat="1" ht="28.5" x14ac:dyDescent="0.2">
      <c r="B14" s="27"/>
      <c r="C14" s="28"/>
      <c r="D14" s="150"/>
      <c r="E14" s="144"/>
      <c r="F14" s="146"/>
      <c r="G14" s="26">
        <v>43110</v>
      </c>
      <c r="H14" s="25" t="s">
        <v>130</v>
      </c>
      <c r="I14" s="19">
        <v>5800</v>
      </c>
    </row>
    <row r="15" spans="2:9" s="24" customFormat="1" x14ac:dyDescent="0.2">
      <c r="B15" s="27"/>
      <c r="C15" s="28"/>
      <c r="D15" s="150"/>
      <c r="E15" s="144"/>
      <c r="F15" s="146"/>
      <c r="G15" s="26">
        <v>43120</v>
      </c>
      <c r="H15" s="25" t="s">
        <v>131</v>
      </c>
      <c r="I15" s="19">
        <v>8600</v>
      </c>
    </row>
    <row r="16" spans="2:9" s="24" customFormat="1" x14ac:dyDescent="0.2">
      <c r="B16" s="27"/>
      <c r="C16" s="28"/>
      <c r="D16" s="150"/>
      <c r="E16" s="144"/>
      <c r="F16" s="146"/>
      <c r="G16" s="26">
        <v>43500</v>
      </c>
      <c r="H16" s="25" t="s">
        <v>132</v>
      </c>
      <c r="I16" s="19">
        <v>2000</v>
      </c>
    </row>
    <row r="17" spans="2:9" s="24" customFormat="1" ht="28.5" x14ac:dyDescent="0.2">
      <c r="B17" s="27"/>
      <c r="C17" s="28"/>
      <c r="D17" s="150"/>
      <c r="E17" s="145"/>
      <c r="F17" s="146"/>
      <c r="G17" s="36">
        <v>43600</v>
      </c>
      <c r="H17" s="25" t="s">
        <v>133</v>
      </c>
      <c r="I17" s="19">
        <v>10450</v>
      </c>
    </row>
    <row r="18" spans="2:9" s="24" customFormat="1" ht="156.75" customHeight="1" x14ac:dyDescent="0.2">
      <c r="B18" s="23"/>
      <c r="C18" s="29"/>
      <c r="D18" s="150"/>
      <c r="E18" s="143" t="s">
        <v>8</v>
      </c>
      <c r="F18" s="143" t="s">
        <v>9</v>
      </c>
      <c r="G18" s="26">
        <v>25220</v>
      </c>
      <c r="H18" s="25" t="s">
        <v>10</v>
      </c>
      <c r="I18" s="19">
        <v>105444</v>
      </c>
    </row>
    <row r="19" spans="2:9" s="24" customFormat="1" ht="28.5" x14ac:dyDescent="0.2">
      <c r="B19" s="23"/>
      <c r="C19" s="29"/>
      <c r="D19" s="150"/>
      <c r="E19" s="144"/>
      <c r="F19" s="144"/>
      <c r="G19" s="26">
        <v>22110</v>
      </c>
      <c r="H19" s="25" t="s">
        <v>11</v>
      </c>
      <c r="I19" s="19">
        <v>880</v>
      </c>
    </row>
    <row r="20" spans="2:9" s="24" customFormat="1" ht="15" customHeight="1" x14ac:dyDescent="0.2">
      <c r="B20" s="23"/>
      <c r="C20" s="29"/>
      <c r="D20" s="150"/>
      <c r="E20" s="144"/>
      <c r="F20" s="144"/>
      <c r="G20" s="26">
        <v>22210</v>
      </c>
      <c r="H20" s="25" t="s">
        <v>12</v>
      </c>
      <c r="I20" s="19">
        <v>3710</v>
      </c>
    </row>
    <row r="21" spans="2:9" s="24" customFormat="1" ht="28.5" x14ac:dyDescent="0.2">
      <c r="B21" s="23"/>
      <c r="C21" s="29"/>
      <c r="D21" s="150"/>
      <c r="E21" s="144"/>
      <c r="F21" s="144"/>
      <c r="G21" s="26">
        <v>25300</v>
      </c>
      <c r="H21" s="25" t="s">
        <v>13</v>
      </c>
      <c r="I21" s="19">
        <v>300</v>
      </c>
    </row>
    <row r="22" spans="2:9" s="24" customFormat="1" ht="15" customHeight="1" x14ac:dyDescent="0.2">
      <c r="B22" s="23"/>
      <c r="C22" s="29"/>
      <c r="D22" s="150"/>
      <c r="E22" s="144"/>
      <c r="F22" s="144"/>
      <c r="G22" s="26">
        <v>25600</v>
      </c>
      <c r="H22" s="25" t="s">
        <v>14</v>
      </c>
      <c r="I22" s="19">
        <v>920</v>
      </c>
    </row>
    <row r="23" spans="2:9" s="24" customFormat="1" ht="28.5" x14ac:dyDescent="0.2">
      <c r="B23" s="23"/>
      <c r="C23" s="29"/>
      <c r="D23" s="150"/>
      <c r="E23" s="144"/>
      <c r="F23" s="144"/>
      <c r="G23" s="26">
        <v>25700</v>
      </c>
      <c r="H23" s="25" t="s">
        <v>15</v>
      </c>
      <c r="I23" s="19">
        <v>300</v>
      </c>
    </row>
    <row r="24" spans="2:9" s="24" customFormat="1" x14ac:dyDescent="0.2">
      <c r="B24" s="23"/>
      <c r="C24" s="29"/>
      <c r="D24" s="150"/>
      <c r="E24" s="145"/>
      <c r="F24" s="145"/>
      <c r="G24" s="22">
        <v>43120</v>
      </c>
      <c r="H24" s="31" t="s">
        <v>16</v>
      </c>
      <c r="I24" s="19">
        <v>7500</v>
      </c>
    </row>
    <row r="25" spans="2:9" s="24" customFormat="1" ht="24.75" customHeight="1" x14ac:dyDescent="0.2">
      <c r="B25" s="23"/>
      <c r="C25" s="29"/>
      <c r="D25" s="150"/>
      <c r="E25" s="143" t="s">
        <v>18</v>
      </c>
      <c r="F25" s="146" t="s">
        <v>17</v>
      </c>
      <c r="G25" s="26">
        <v>25220</v>
      </c>
      <c r="H25" s="25" t="s">
        <v>10</v>
      </c>
      <c r="I25" s="19">
        <v>74088</v>
      </c>
    </row>
    <row r="26" spans="2:9" s="24" customFormat="1" ht="28.5" x14ac:dyDescent="0.2">
      <c r="B26" s="23"/>
      <c r="C26" s="29"/>
      <c r="D26" s="150"/>
      <c r="E26" s="144"/>
      <c r="F26" s="146"/>
      <c r="G26" s="26">
        <v>22110</v>
      </c>
      <c r="H26" s="25" t="s">
        <v>11</v>
      </c>
      <c r="I26" s="19">
        <v>490</v>
      </c>
    </row>
    <row r="27" spans="2:9" s="24" customFormat="1" ht="28.5" x14ac:dyDescent="0.2">
      <c r="B27" s="23"/>
      <c r="C27" s="29"/>
      <c r="D27" s="150"/>
      <c r="E27" s="144"/>
      <c r="F27" s="146"/>
      <c r="G27" s="26">
        <v>22210</v>
      </c>
      <c r="H27" s="25" t="s">
        <v>12</v>
      </c>
      <c r="I27" s="19">
        <v>1855</v>
      </c>
    </row>
    <row r="28" spans="2:9" s="24" customFormat="1" ht="42.75" x14ac:dyDescent="0.2">
      <c r="B28" s="23"/>
      <c r="C28" s="29"/>
      <c r="D28" s="150"/>
      <c r="E28" s="144"/>
      <c r="F28" s="146"/>
      <c r="G28" s="26">
        <v>25600</v>
      </c>
      <c r="H28" s="25" t="s">
        <v>14</v>
      </c>
      <c r="I28" s="19">
        <v>750</v>
      </c>
    </row>
    <row r="29" spans="2:9" s="24" customFormat="1" x14ac:dyDescent="0.2">
      <c r="B29" s="23"/>
      <c r="C29" s="29"/>
      <c r="D29" s="150"/>
      <c r="E29" s="144"/>
      <c r="F29" s="146"/>
      <c r="G29" s="26">
        <v>26200</v>
      </c>
      <c r="H29" s="25" t="s">
        <v>134</v>
      </c>
      <c r="I29" s="19">
        <v>600</v>
      </c>
    </row>
    <row r="30" spans="2:9" s="24" customFormat="1" ht="28.5" x14ac:dyDescent="0.2">
      <c r="B30" s="23"/>
      <c r="C30" s="29"/>
      <c r="D30" s="150"/>
      <c r="E30" s="145"/>
      <c r="F30" s="146"/>
      <c r="G30" s="26">
        <v>31120</v>
      </c>
      <c r="H30" s="25" t="s">
        <v>31</v>
      </c>
      <c r="I30" s="19">
        <v>2000</v>
      </c>
    </row>
    <row r="31" spans="2:9" s="24" customFormat="1" ht="90" customHeight="1" x14ac:dyDescent="0.2">
      <c r="D31" s="150"/>
      <c r="E31" s="143" t="s">
        <v>26</v>
      </c>
      <c r="F31" s="32" t="s">
        <v>19</v>
      </c>
      <c r="G31" s="26">
        <v>25220</v>
      </c>
      <c r="H31" s="25" t="s">
        <v>10</v>
      </c>
      <c r="I31" s="19">
        <v>87108</v>
      </c>
    </row>
    <row r="32" spans="2:9" s="24" customFormat="1" ht="28.5" x14ac:dyDescent="0.2">
      <c r="D32" s="150"/>
      <c r="E32" s="144"/>
      <c r="F32" s="33" t="s">
        <v>20</v>
      </c>
      <c r="G32" s="26">
        <v>22110</v>
      </c>
      <c r="H32" s="25" t="s">
        <v>11</v>
      </c>
      <c r="I32" s="19">
        <v>1680</v>
      </c>
    </row>
    <row r="33" spans="4:9" s="24" customFormat="1" ht="28.5" x14ac:dyDescent="0.2">
      <c r="D33" s="150"/>
      <c r="E33" s="144"/>
      <c r="F33" s="33" t="s">
        <v>21</v>
      </c>
      <c r="G33" s="26">
        <v>22210</v>
      </c>
      <c r="H33" s="25" t="s">
        <v>12</v>
      </c>
      <c r="I33" s="19">
        <v>8900</v>
      </c>
    </row>
    <row r="34" spans="4:9" s="24" customFormat="1" ht="28.5" x14ac:dyDescent="0.2">
      <c r="D34" s="150"/>
      <c r="E34" s="144"/>
      <c r="F34" s="33" t="s">
        <v>22</v>
      </c>
      <c r="G34" s="26">
        <v>22600</v>
      </c>
      <c r="H34" s="25" t="s">
        <v>28</v>
      </c>
      <c r="I34" s="19">
        <v>1200</v>
      </c>
    </row>
    <row r="35" spans="4:9" s="24" customFormat="1" ht="42.75" x14ac:dyDescent="0.2">
      <c r="D35" s="150"/>
      <c r="E35" s="144"/>
      <c r="F35" s="33" t="s">
        <v>23</v>
      </c>
      <c r="G35" s="26">
        <v>25600</v>
      </c>
      <c r="H35" s="25" t="s">
        <v>14</v>
      </c>
      <c r="I35" s="19">
        <v>800</v>
      </c>
    </row>
    <row r="36" spans="4:9" s="24" customFormat="1" ht="28.5" x14ac:dyDescent="0.2">
      <c r="D36" s="150"/>
      <c r="E36" s="144"/>
      <c r="F36" s="32" t="s">
        <v>24</v>
      </c>
      <c r="G36" s="26">
        <v>25700</v>
      </c>
      <c r="H36" s="25" t="s">
        <v>15</v>
      </c>
      <c r="I36" s="19">
        <v>4000</v>
      </c>
    </row>
    <row r="37" spans="4:9" s="24" customFormat="1" ht="28.5" x14ac:dyDescent="0.2">
      <c r="D37" s="150"/>
      <c r="E37" s="144"/>
      <c r="F37" s="32" t="s">
        <v>25</v>
      </c>
      <c r="G37" s="26">
        <v>26300</v>
      </c>
      <c r="H37" s="25" t="s">
        <v>50</v>
      </c>
      <c r="I37" s="19">
        <v>11480</v>
      </c>
    </row>
    <row r="38" spans="4:9" s="24" customFormat="1" ht="28.5" x14ac:dyDescent="0.2">
      <c r="D38" s="150"/>
      <c r="E38" s="144"/>
      <c r="F38" s="33"/>
      <c r="G38" s="26">
        <v>34200</v>
      </c>
      <c r="H38" s="25" t="s">
        <v>55</v>
      </c>
      <c r="I38" s="19">
        <v>3875</v>
      </c>
    </row>
    <row r="39" spans="4:9" s="24" customFormat="1" ht="28.5" x14ac:dyDescent="0.2">
      <c r="D39" s="150"/>
      <c r="E39" s="144"/>
      <c r="F39" s="33"/>
      <c r="G39" s="26">
        <v>34500</v>
      </c>
      <c r="H39" s="25" t="s">
        <v>57</v>
      </c>
      <c r="I39" s="19">
        <v>1275</v>
      </c>
    </row>
    <row r="40" spans="4:9" s="24" customFormat="1" x14ac:dyDescent="0.2">
      <c r="D40" s="150"/>
      <c r="E40" s="144"/>
      <c r="F40" s="33"/>
      <c r="G40" s="26">
        <v>34800</v>
      </c>
      <c r="H40" s="25" t="s">
        <v>59</v>
      </c>
      <c r="I40" s="19">
        <v>3635</v>
      </c>
    </row>
    <row r="41" spans="4:9" s="24" customFormat="1" ht="28.5" x14ac:dyDescent="0.2">
      <c r="D41" s="150"/>
      <c r="E41" s="144"/>
      <c r="F41" s="33"/>
      <c r="G41" s="26">
        <v>39400</v>
      </c>
      <c r="H41" s="25" t="s">
        <v>135</v>
      </c>
      <c r="I41" s="19">
        <v>204</v>
      </c>
    </row>
    <row r="42" spans="4:9" s="24" customFormat="1" ht="28.5" x14ac:dyDescent="0.2">
      <c r="D42" s="150"/>
      <c r="E42" s="144"/>
      <c r="F42" s="33"/>
      <c r="G42" s="22">
        <v>39700</v>
      </c>
      <c r="H42" s="25" t="s">
        <v>136</v>
      </c>
      <c r="I42" s="19">
        <v>10230</v>
      </c>
    </row>
    <row r="43" spans="4:9" s="24" customFormat="1" ht="26.25" customHeight="1" x14ac:dyDescent="0.2">
      <c r="D43" s="150"/>
      <c r="E43" s="144"/>
      <c r="F43" s="33"/>
      <c r="G43" s="26">
        <v>39800</v>
      </c>
      <c r="H43" s="25" t="s">
        <v>61</v>
      </c>
      <c r="I43" s="19">
        <v>147894</v>
      </c>
    </row>
    <row r="44" spans="4:9" s="24" customFormat="1" x14ac:dyDescent="0.2">
      <c r="D44" s="150"/>
      <c r="E44" s="144"/>
      <c r="F44" s="33"/>
      <c r="G44" s="26">
        <v>43120</v>
      </c>
      <c r="H44" s="25" t="s">
        <v>131</v>
      </c>
      <c r="I44" s="19">
        <v>14800</v>
      </c>
    </row>
    <row r="45" spans="4:9" s="24" customFormat="1" x14ac:dyDescent="0.2">
      <c r="D45" s="150"/>
      <c r="E45" s="144"/>
      <c r="F45" s="33"/>
      <c r="G45" s="26">
        <v>43500</v>
      </c>
      <c r="H45" s="25" t="s">
        <v>132</v>
      </c>
      <c r="I45" s="19">
        <v>18480</v>
      </c>
    </row>
    <row r="46" spans="4:9" s="24" customFormat="1" ht="57" customHeight="1" x14ac:dyDescent="0.2">
      <c r="D46" s="150"/>
      <c r="E46" s="144"/>
      <c r="F46" s="146" t="s">
        <v>27</v>
      </c>
      <c r="G46" s="26">
        <v>25220</v>
      </c>
      <c r="H46" s="25" t="s">
        <v>10</v>
      </c>
      <c r="I46" s="19">
        <v>44592</v>
      </c>
    </row>
    <row r="47" spans="4:9" s="24" customFormat="1" ht="28.5" x14ac:dyDescent="0.2">
      <c r="D47" s="150"/>
      <c r="E47" s="144"/>
      <c r="F47" s="146"/>
      <c r="G47" s="26">
        <v>22110</v>
      </c>
      <c r="H47" s="25" t="s">
        <v>11</v>
      </c>
      <c r="I47" s="19">
        <v>1680</v>
      </c>
    </row>
    <row r="48" spans="4:9" s="24" customFormat="1" ht="28.5" x14ac:dyDescent="0.2">
      <c r="D48" s="150"/>
      <c r="E48" s="144"/>
      <c r="F48" s="146"/>
      <c r="G48" s="26">
        <v>22210</v>
      </c>
      <c r="H48" s="25" t="s">
        <v>12</v>
      </c>
      <c r="I48" s="19">
        <v>4452</v>
      </c>
    </row>
    <row r="49" spans="4:9" s="24" customFormat="1" ht="28.5" x14ac:dyDescent="0.2">
      <c r="D49" s="150"/>
      <c r="E49" s="144"/>
      <c r="F49" s="146"/>
      <c r="G49" s="26">
        <v>24110</v>
      </c>
      <c r="H49" s="25" t="s">
        <v>129</v>
      </c>
      <c r="I49" s="19">
        <v>500</v>
      </c>
    </row>
    <row r="50" spans="4:9" s="24" customFormat="1" x14ac:dyDescent="0.2">
      <c r="D50" s="150"/>
      <c r="E50" s="144"/>
      <c r="F50" s="146"/>
      <c r="G50" s="26">
        <v>25500</v>
      </c>
      <c r="H50" s="25" t="s">
        <v>32</v>
      </c>
      <c r="I50" s="19">
        <v>1750</v>
      </c>
    </row>
    <row r="51" spans="4:9" s="24" customFormat="1" ht="42.75" x14ac:dyDescent="0.2">
      <c r="D51" s="150"/>
      <c r="E51" s="144"/>
      <c r="F51" s="146"/>
      <c r="G51" s="26">
        <v>25600</v>
      </c>
      <c r="H51" s="25" t="s">
        <v>14</v>
      </c>
      <c r="I51" s="19">
        <v>9200</v>
      </c>
    </row>
    <row r="52" spans="4:9" s="24" customFormat="1" x14ac:dyDescent="0.2">
      <c r="D52" s="150"/>
      <c r="E52" s="144"/>
      <c r="F52" s="146"/>
      <c r="G52" s="26">
        <v>25900</v>
      </c>
      <c r="H52" s="25" t="s">
        <v>29</v>
      </c>
      <c r="I52" s="19">
        <v>3000</v>
      </c>
    </row>
    <row r="53" spans="4:9" s="24" customFormat="1" ht="28.5" x14ac:dyDescent="0.2">
      <c r="D53" s="150"/>
      <c r="E53" s="144"/>
      <c r="F53" s="146"/>
      <c r="G53" s="26">
        <v>34400</v>
      </c>
      <c r="H53" s="25" t="s">
        <v>30</v>
      </c>
      <c r="I53" s="19">
        <v>7200</v>
      </c>
    </row>
    <row r="54" spans="4:9" s="24" customFormat="1" ht="28.5" x14ac:dyDescent="0.2">
      <c r="D54" s="150"/>
      <c r="E54" s="144"/>
      <c r="F54" s="146"/>
      <c r="G54" s="26">
        <v>43110</v>
      </c>
      <c r="H54" s="25" t="s">
        <v>130</v>
      </c>
      <c r="I54" s="19">
        <v>640</v>
      </c>
    </row>
    <row r="55" spans="4:9" s="24" customFormat="1" x14ac:dyDescent="0.2">
      <c r="D55" s="150"/>
      <c r="E55" s="145"/>
      <c r="F55" s="146"/>
      <c r="G55" s="22">
        <v>43120</v>
      </c>
      <c r="H55" s="25" t="s">
        <v>131</v>
      </c>
      <c r="I55" s="24">
        <v>7300</v>
      </c>
    </row>
    <row r="56" spans="4:9" s="24" customFormat="1" ht="45" customHeight="1" x14ac:dyDescent="0.2">
      <c r="D56" s="150"/>
      <c r="E56" s="143" t="s">
        <v>38</v>
      </c>
      <c r="F56" s="146" t="s">
        <v>34</v>
      </c>
      <c r="G56" s="26">
        <v>25220</v>
      </c>
      <c r="H56" s="25" t="s">
        <v>10</v>
      </c>
      <c r="I56" s="19">
        <v>22296</v>
      </c>
    </row>
    <row r="57" spans="4:9" s="24" customFormat="1" ht="28.5" x14ac:dyDescent="0.2">
      <c r="D57" s="150"/>
      <c r="E57" s="144"/>
      <c r="F57" s="146"/>
      <c r="G57" s="26">
        <v>22110</v>
      </c>
      <c r="H57" s="25" t="s">
        <v>11</v>
      </c>
      <c r="I57" s="19">
        <v>9495</v>
      </c>
    </row>
    <row r="58" spans="4:9" s="24" customFormat="1" ht="56.25" customHeight="1" x14ac:dyDescent="0.2">
      <c r="D58" s="150"/>
      <c r="E58" s="144"/>
      <c r="F58" s="146" t="s">
        <v>35</v>
      </c>
      <c r="G58" s="26">
        <v>22210</v>
      </c>
      <c r="H58" s="25" t="s">
        <v>12</v>
      </c>
      <c r="I58" s="19">
        <v>3339</v>
      </c>
    </row>
    <row r="59" spans="4:9" s="24" customFormat="1" ht="42.75" x14ac:dyDescent="0.2">
      <c r="D59" s="150"/>
      <c r="E59" s="144"/>
      <c r="F59" s="146"/>
      <c r="G59" s="26">
        <v>25600</v>
      </c>
      <c r="H59" s="25" t="s">
        <v>14</v>
      </c>
      <c r="I59" s="19">
        <v>2400</v>
      </c>
    </row>
    <row r="60" spans="4:9" s="24" customFormat="1" ht="55.5" customHeight="1" x14ac:dyDescent="0.2">
      <c r="D60" s="150"/>
      <c r="E60" s="144"/>
      <c r="F60" s="146" t="s">
        <v>36</v>
      </c>
      <c r="G60" s="26">
        <v>25700</v>
      </c>
      <c r="H60" s="25" t="s">
        <v>15</v>
      </c>
      <c r="I60" s="19">
        <v>1800</v>
      </c>
    </row>
    <row r="61" spans="4:9" s="24" customFormat="1" x14ac:dyDescent="0.2">
      <c r="D61" s="150"/>
      <c r="E61" s="144"/>
      <c r="F61" s="146"/>
      <c r="G61" s="26">
        <v>26200</v>
      </c>
      <c r="H61" s="25" t="s">
        <v>134</v>
      </c>
      <c r="I61" s="19">
        <v>1200</v>
      </c>
    </row>
    <row r="62" spans="4:9" s="24" customFormat="1" x14ac:dyDescent="0.2">
      <c r="D62" s="150"/>
      <c r="E62" s="144"/>
      <c r="F62" s="22"/>
      <c r="G62" s="22">
        <v>43120</v>
      </c>
      <c r="H62" s="25" t="s">
        <v>131</v>
      </c>
      <c r="I62" s="19">
        <v>7500</v>
      </c>
    </row>
    <row r="63" spans="4:9" s="24" customFormat="1" ht="49.5" customHeight="1" x14ac:dyDescent="0.2">
      <c r="D63" s="150"/>
      <c r="E63" s="145"/>
      <c r="F63" s="30" t="s">
        <v>37</v>
      </c>
      <c r="G63" s="26">
        <v>32500</v>
      </c>
      <c r="H63" s="25" t="s">
        <v>137</v>
      </c>
      <c r="I63" s="19">
        <v>1000</v>
      </c>
    </row>
    <row r="64" spans="4:9" s="24" customFormat="1" ht="71.25" customHeight="1" x14ac:dyDescent="0.2">
      <c r="E64" s="143" t="s">
        <v>39</v>
      </c>
      <c r="F64" s="146" t="s">
        <v>157</v>
      </c>
      <c r="G64" s="26">
        <v>25210</v>
      </c>
      <c r="H64" s="25" t="s">
        <v>138</v>
      </c>
      <c r="I64" s="19">
        <v>200000</v>
      </c>
    </row>
    <row r="65" spans="5:9" s="24" customFormat="1" ht="28.5" x14ac:dyDescent="0.2">
      <c r="E65" s="144"/>
      <c r="F65" s="146"/>
      <c r="G65" s="26">
        <v>25220</v>
      </c>
      <c r="H65" s="25" t="s">
        <v>10</v>
      </c>
      <c r="I65" s="19">
        <v>1269228</v>
      </c>
    </row>
    <row r="66" spans="5:9" s="24" customFormat="1" x14ac:dyDescent="0.2">
      <c r="E66" s="144"/>
      <c r="F66" s="146"/>
      <c r="G66" s="26">
        <v>25230</v>
      </c>
      <c r="H66" s="25" t="s">
        <v>139</v>
      </c>
      <c r="I66" s="19">
        <v>100000</v>
      </c>
    </row>
    <row r="67" spans="5:9" s="24" customFormat="1" ht="28.5" x14ac:dyDescent="0.2">
      <c r="E67" s="144"/>
      <c r="F67" s="146"/>
      <c r="G67" s="26">
        <v>22110</v>
      </c>
      <c r="H67" s="25" t="s">
        <v>11</v>
      </c>
      <c r="I67" s="20">
        <v>11400</v>
      </c>
    </row>
    <row r="68" spans="5:9" s="24" customFormat="1" ht="28.5" x14ac:dyDescent="0.2">
      <c r="E68" s="144"/>
      <c r="F68" s="146"/>
      <c r="G68" s="26">
        <v>22210</v>
      </c>
      <c r="H68" s="25" t="s">
        <v>12</v>
      </c>
      <c r="I68" s="19">
        <v>20034</v>
      </c>
    </row>
    <row r="69" spans="5:9" s="24" customFormat="1" x14ac:dyDescent="0.2">
      <c r="E69" s="144"/>
      <c r="F69" s="146"/>
      <c r="G69" s="26">
        <v>22600</v>
      </c>
      <c r="H69" s="25" t="s">
        <v>28</v>
      </c>
      <c r="I69" s="19">
        <v>145200</v>
      </c>
    </row>
    <row r="70" spans="5:9" s="24" customFormat="1" ht="28.5" x14ac:dyDescent="0.2">
      <c r="E70" s="144"/>
      <c r="F70" s="146"/>
      <c r="G70" s="26">
        <v>25300</v>
      </c>
      <c r="H70" s="25" t="s">
        <v>13</v>
      </c>
      <c r="I70" s="19">
        <v>25200</v>
      </c>
    </row>
    <row r="71" spans="5:9" s="24" customFormat="1" ht="42.75" x14ac:dyDescent="0.2">
      <c r="E71" s="145"/>
      <c r="F71" s="146"/>
      <c r="G71" s="26">
        <v>25600</v>
      </c>
      <c r="H71" s="25" t="s">
        <v>14</v>
      </c>
      <c r="I71" s="19">
        <v>36250</v>
      </c>
    </row>
    <row r="72" spans="5:9" s="24" customFormat="1" ht="28.5" x14ac:dyDescent="0.2">
      <c r="E72" s="147"/>
      <c r="F72" s="146" t="s">
        <v>158</v>
      </c>
      <c r="G72" s="26">
        <v>25700</v>
      </c>
      <c r="H72" s="25" t="s">
        <v>15</v>
      </c>
      <c r="I72" s="19">
        <v>8750</v>
      </c>
    </row>
    <row r="73" spans="5:9" s="24" customFormat="1" x14ac:dyDescent="0.2">
      <c r="E73" s="148"/>
      <c r="F73" s="146"/>
      <c r="G73" s="26">
        <v>25900</v>
      </c>
      <c r="H73" s="25" t="s">
        <v>29</v>
      </c>
      <c r="I73" s="19">
        <v>14400</v>
      </c>
    </row>
    <row r="74" spans="5:9" s="24" customFormat="1" ht="28.5" x14ac:dyDescent="0.2">
      <c r="E74" s="148"/>
      <c r="F74" s="146"/>
      <c r="G74" s="26">
        <v>26930</v>
      </c>
      <c r="H74" s="25" t="s">
        <v>140</v>
      </c>
      <c r="I74" s="19">
        <v>22500</v>
      </c>
    </row>
    <row r="75" spans="5:9" s="24" customFormat="1" ht="28.5" x14ac:dyDescent="0.2">
      <c r="E75" s="148"/>
      <c r="F75" s="146"/>
      <c r="G75" s="26">
        <v>31120</v>
      </c>
      <c r="H75" s="25" t="s">
        <v>31</v>
      </c>
      <c r="I75" s="19">
        <v>11250</v>
      </c>
    </row>
    <row r="76" spans="5:9" s="24" customFormat="1" x14ac:dyDescent="0.2">
      <c r="E76" s="148"/>
      <c r="F76" s="146"/>
      <c r="G76" s="26">
        <v>32100</v>
      </c>
      <c r="H76" s="25" t="s">
        <v>141</v>
      </c>
      <c r="I76" s="19">
        <v>120200</v>
      </c>
    </row>
    <row r="77" spans="5:9" s="24" customFormat="1" ht="28.5" x14ac:dyDescent="0.2">
      <c r="E77" s="148"/>
      <c r="F77" s="146"/>
      <c r="G77" s="26">
        <v>32200</v>
      </c>
      <c r="H77" s="25" t="s">
        <v>142</v>
      </c>
      <c r="I77" s="19">
        <v>59200</v>
      </c>
    </row>
    <row r="78" spans="5:9" s="24" customFormat="1" ht="28.5" x14ac:dyDescent="0.2">
      <c r="E78" s="148"/>
      <c r="F78" s="146"/>
      <c r="G78" s="26">
        <v>34200</v>
      </c>
      <c r="H78" s="25" t="s">
        <v>55</v>
      </c>
      <c r="I78" s="19">
        <v>10250</v>
      </c>
    </row>
    <row r="79" spans="5:9" s="24" customFormat="1" ht="28.5" x14ac:dyDescent="0.2">
      <c r="E79" s="148"/>
      <c r="F79" s="146"/>
      <c r="G79" s="26">
        <v>34500</v>
      </c>
      <c r="H79" s="25" t="s">
        <v>57</v>
      </c>
      <c r="I79" s="19">
        <v>4805</v>
      </c>
    </row>
    <row r="80" spans="5:9" s="24" customFormat="1" x14ac:dyDescent="0.2">
      <c r="E80" s="148"/>
      <c r="F80" s="146"/>
      <c r="G80" s="26">
        <v>34800</v>
      </c>
      <c r="H80" s="25" t="s">
        <v>59</v>
      </c>
      <c r="I80" s="19">
        <v>1800</v>
      </c>
    </row>
    <row r="81" spans="5:9" s="24" customFormat="1" ht="28.5" x14ac:dyDescent="0.2">
      <c r="E81" s="149"/>
      <c r="F81" s="146"/>
      <c r="G81" s="26">
        <v>39100</v>
      </c>
      <c r="H81" s="25" t="s">
        <v>60</v>
      </c>
      <c r="I81" s="19">
        <v>79480</v>
      </c>
    </row>
    <row r="82" spans="5:9" s="24" customFormat="1" ht="28.5" x14ac:dyDescent="0.2">
      <c r="E82" s="147"/>
      <c r="F82" s="146" t="s">
        <v>159</v>
      </c>
      <c r="G82" s="26">
        <v>39500</v>
      </c>
      <c r="H82" s="25" t="s">
        <v>64</v>
      </c>
      <c r="I82" s="19">
        <v>226300</v>
      </c>
    </row>
    <row r="83" spans="5:9" s="24" customFormat="1" ht="28.5" x14ac:dyDescent="0.2">
      <c r="E83" s="148"/>
      <c r="F83" s="146"/>
      <c r="G83" s="22">
        <v>39700</v>
      </c>
      <c r="H83" s="25" t="s">
        <v>136</v>
      </c>
      <c r="I83" s="19">
        <v>20300</v>
      </c>
    </row>
    <row r="84" spans="5:9" s="24" customFormat="1" x14ac:dyDescent="0.2">
      <c r="E84" s="148"/>
      <c r="F84" s="146"/>
      <c r="G84" s="26">
        <v>21100</v>
      </c>
      <c r="H84" s="25" t="s">
        <v>63</v>
      </c>
      <c r="I84" s="19">
        <v>4000</v>
      </c>
    </row>
    <row r="85" spans="5:9" s="24" customFormat="1" x14ac:dyDescent="0.2">
      <c r="E85" s="148"/>
      <c r="F85" s="146"/>
      <c r="G85" s="26">
        <v>21200</v>
      </c>
      <c r="H85" s="25" t="s">
        <v>143</v>
      </c>
      <c r="I85" s="19">
        <v>90120</v>
      </c>
    </row>
    <row r="86" spans="5:9" s="24" customFormat="1" x14ac:dyDescent="0.2">
      <c r="E86" s="148"/>
      <c r="F86" s="146"/>
      <c r="G86" s="26">
        <v>21300</v>
      </c>
      <c r="H86" s="25" t="s">
        <v>144</v>
      </c>
      <c r="I86" s="19">
        <v>43560</v>
      </c>
    </row>
    <row r="87" spans="5:9" s="24" customFormat="1" x14ac:dyDescent="0.2">
      <c r="E87" s="148"/>
      <c r="F87" s="146"/>
      <c r="G87" s="26">
        <v>21400</v>
      </c>
      <c r="H87" s="25" t="s">
        <v>145</v>
      </c>
      <c r="I87" s="19">
        <v>66000</v>
      </c>
    </row>
    <row r="88" spans="5:9" s="24" customFormat="1" x14ac:dyDescent="0.2">
      <c r="E88" s="148"/>
      <c r="F88" s="146"/>
      <c r="G88" s="26">
        <v>21600</v>
      </c>
      <c r="H88" s="25" t="s">
        <v>146</v>
      </c>
      <c r="I88" s="19">
        <v>78720</v>
      </c>
    </row>
    <row r="89" spans="5:9" s="24" customFormat="1" ht="28.5" x14ac:dyDescent="0.2">
      <c r="E89" s="148"/>
      <c r="F89" s="146"/>
      <c r="G89" s="26">
        <v>43110</v>
      </c>
      <c r="H89" s="25" t="s">
        <v>130</v>
      </c>
      <c r="I89" s="19">
        <v>10880</v>
      </c>
    </row>
    <row r="90" spans="5:9" s="24" customFormat="1" x14ac:dyDescent="0.2">
      <c r="E90" s="148"/>
      <c r="F90" s="146"/>
      <c r="G90" s="26">
        <v>43120</v>
      </c>
      <c r="H90" s="25" t="s">
        <v>16</v>
      </c>
      <c r="I90" s="19">
        <v>70400</v>
      </c>
    </row>
    <row r="91" spans="5:9" s="24" customFormat="1" ht="28.5" x14ac:dyDescent="0.2">
      <c r="E91" s="148"/>
      <c r="F91" s="146"/>
      <c r="G91" s="26">
        <v>43600</v>
      </c>
      <c r="H91" s="25" t="s">
        <v>133</v>
      </c>
      <c r="I91" s="19">
        <v>1450</v>
      </c>
    </row>
    <row r="92" spans="5:9" s="24" customFormat="1" ht="42.75" x14ac:dyDescent="0.2">
      <c r="E92" s="148"/>
      <c r="F92" s="146"/>
      <c r="G92" s="34">
        <v>63900</v>
      </c>
      <c r="H92" s="35" t="s">
        <v>147</v>
      </c>
      <c r="I92" s="21">
        <v>60000</v>
      </c>
    </row>
    <row r="93" spans="5:9" s="24" customFormat="1" ht="57" x14ac:dyDescent="0.2">
      <c r="E93" s="148"/>
      <c r="F93" s="146"/>
      <c r="G93" s="34">
        <v>73700</v>
      </c>
      <c r="H93" s="35" t="s">
        <v>148</v>
      </c>
      <c r="I93" s="21">
        <v>120000</v>
      </c>
    </row>
    <row r="94" spans="5:9" s="24" customFormat="1" ht="28.5" x14ac:dyDescent="0.2">
      <c r="E94" s="148"/>
      <c r="F94" s="146"/>
      <c r="G94" s="26">
        <v>81200</v>
      </c>
      <c r="H94" s="25" t="s">
        <v>149</v>
      </c>
      <c r="I94" s="19">
        <v>3239772</v>
      </c>
    </row>
    <row r="95" spans="5:9" s="24" customFormat="1" ht="28.5" x14ac:dyDescent="0.2">
      <c r="E95" s="148"/>
      <c r="F95" s="146"/>
      <c r="G95" s="26">
        <v>81300</v>
      </c>
      <c r="H95" s="25" t="s">
        <v>150</v>
      </c>
      <c r="I95" s="19">
        <v>6069672</v>
      </c>
    </row>
    <row r="96" spans="5:9" s="24" customFormat="1" x14ac:dyDescent="0.2">
      <c r="E96" s="148"/>
      <c r="F96" s="146"/>
      <c r="G96" s="26">
        <v>85100</v>
      </c>
      <c r="H96" s="25" t="s">
        <v>151</v>
      </c>
      <c r="I96" s="19">
        <v>350000.00099999999</v>
      </c>
    </row>
    <row r="97" spans="5:9" s="24" customFormat="1" x14ac:dyDescent="0.2">
      <c r="E97" s="148"/>
      <c r="F97" s="146"/>
      <c r="G97" s="26">
        <v>85400</v>
      </c>
      <c r="H97" s="25" t="s">
        <v>152</v>
      </c>
      <c r="I97" s="19">
        <v>270000</v>
      </c>
    </row>
    <row r="98" spans="5:9" s="24" customFormat="1" x14ac:dyDescent="0.2">
      <c r="E98" s="148"/>
      <c r="F98" s="146"/>
      <c r="G98" s="26">
        <v>85500</v>
      </c>
      <c r="H98" s="25" t="s">
        <v>153</v>
      </c>
      <c r="I98" s="19">
        <v>42324</v>
      </c>
    </row>
    <row r="99" spans="5:9" s="24" customFormat="1" ht="28.5" x14ac:dyDescent="0.2">
      <c r="E99" s="148"/>
      <c r="F99" s="146"/>
      <c r="G99" s="26">
        <v>95100</v>
      </c>
      <c r="H99" s="25" t="s">
        <v>154</v>
      </c>
      <c r="I99" s="19">
        <v>1019200</v>
      </c>
    </row>
    <row r="100" spans="5:9" s="24" customFormat="1" ht="28.5" x14ac:dyDescent="0.2">
      <c r="E100" s="148"/>
      <c r="F100" s="146"/>
      <c r="G100" s="26">
        <v>96100</v>
      </c>
      <c r="H100" s="25" t="s">
        <v>155</v>
      </c>
      <c r="I100" s="19">
        <v>696000</v>
      </c>
    </row>
    <row r="101" spans="5:9" s="24" customFormat="1" x14ac:dyDescent="0.2">
      <c r="E101" s="149"/>
      <c r="F101" s="146"/>
      <c r="G101" s="26">
        <v>96200</v>
      </c>
      <c r="H101" s="25" t="s">
        <v>156</v>
      </c>
      <c r="I101" s="19">
        <v>400000</v>
      </c>
    </row>
    <row r="102" spans="5:9" s="24" customFormat="1" ht="30" customHeight="1" x14ac:dyDescent="0.2">
      <c r="E102" s="143" t="s">
        <v>40</v>
      </c>
      <c r="F102" s="146" t="s">
        <v>41</v>
      </c>
      <c r="G102" s="26">
        <v>25220</v>
      </c>
      <c r="H102" s="25" t="s">
        <v>10</v>
      </c>
      <c r="I102" s="19">
        <v>1371180</v>
      </c>
    </row>
    <row r="103" spans="5:9" s="24" customFormat="1" ht="28.5" x14ac:dyDescent="0.2">
      <c r="E103" s="144"/>
      <c r="F103" s="146"/>
      <c r="G103" s="26">
        <v>22110</v>
      </c>
      <c r="H103" s="25" t="s">
        <v>11</v>
      </c>
      <c r="I103" s="19">
        <v>12880</v>
      </c>
    </row>
    <row r="104" spans="5:9" s="24" customFormat="1" ht="28.5" x14ac:dyDescent="0.2">
      <c r="E104" s="144"/>
      <c r="F104" s="146"/>
      <c r="G104" s="26">
        <v>22120</v>
      </c>
      <c r="H104" s="25" t="s">
        <v>46</v>
      </c>
      <c r="I104" s="19">
        <v>10000</v>
      </c>
    </row>
    <row r="105" spans="5:9" s="24" customFormat="1" ht="28.5" x14ac:dyDescent="0.2">
      <c r="E105" s="144"/>
      <c r="F105" s="146" t="s">
        <v>42</v>
      </c>
      <c r="G105" s="26">
        <v>22210</v>
      </c>
      <c r="H105" s="25" t="s">
        <v>12</v>
      </c>
      <c r="I105" s="19">
        <v>10388</v>
      </c>
    </row>
    <row r="106" spans="5:9" s="24" customFormat="1" ht="28.5" x14ac:dyDescent="0.2">
      <c r="E106" s="144"/>
      <c r="F106" s="146"/>
      <c r="G106" s="26">
        <v>22220</v>
      </c>
      <c r="H106" s="25" t="s">
        <v>160</v>
      </c>
      <c r="I106" s="19">
        <v>13800</v>
      </c>
    </row>
    <row r="107" spans="5:9" s="24" customFormat="1" x14ac:dyDescent="0.2">
      <c r="E107" s="144"/>
      <c r="F107" s="146"/>
      <c r="G107" s="26">
        <v>22300</v>
      </c>
      <c r="H107" s="25" t="s">
        <v>47</v>
      </c>
      <c r="I107" s="19">
        <v>12000</v>
      </c>
    </row>
    <row r="108" spans="5:9" s="24" customFormat="1" x14ac:dyDescent="0.2">
      <c r="E108" s="144"/>
      <c r="F108" s="146" t="s">
        <v>43</v>
      </c>
      <c r="G108" s="26">
        <v>22500</v>
      </c>
      <c r="H108" s="25" t="s">
        <v>48</v>
      </c>
      <c r="I108" s="19">
        <v>1994332</v>
      </c>
    </row>
    <row r="109" spans="5:9" s="24" customFormat="1" x14ac:dyDescent="0.2">
      <c r="E109" s="144"/>
      <c r="F109" s="146"/>
      <c r="G109" s="26">
        <v>22600</v>
      </c>
      <c r="H109" s="25" t="s">
        <v>28</v>
      </c>
      <c r="I109" s="19">
        <v>3000</v>
      </c>
    </row>
    <row r="110" spans="5:9" s="24" customFormat="1" ht="28.5" x14ac:dyDescent="0.2">
      <c r="E110" s="144"/>
      <c r="F110" s="146"/>
      <c r="G110" s="26">
        <v>24130</v>
      </c>
      <c r="H110" s="25" t="s">
        <v>161</v>
      </c>
      <c r="I110" s="19">
        <v>6800</v>
      </c>
    </row>
    <row r="111" spans="5:9" s="24" customFormat="1" x14ac:dyDescent="0.2">
      <c r="E111" s="144"/>
      <c r="F111" s="22"/>
      <c r="G111" s="26">
        <v>25500</v>
      </c>
      <c r="H111" s="25" t="s">
        <v>32</v>
      </c>
      <c r="I111" s="19">
        <v>72480</v>
      </c>
    </row>
    <row r="112" spans="5:9" s="24" customFormat="1" ht="42.75" x14ac:dyDescent="0.2">
      <c r="E112" s="144"/>
      <c r="F112" s="22"/>
      <c r="G112" s="26">
        <v>25600</v>
      </c>
      <c r="H112" s="25" t="s">
        <v>14</v>
      </c>
      <c r="I112" s="19">
        <v>98885</v>
      </c>
    </row>
    <row r="113" spans="5:9" s="24" customFormat="1" x14ac:dyDescent="0.2">
      <c r="E113" s="144"/>
      <c r="F113" s="22"/>
      <c r="G113" s="26">
        <v>26200</v>
      </c>
      <c r="H113" s="25" t="s">
        <v>134</v>
      </c>
      <c r="I113" s="19">
        <v>2000</v>
      </c>
    </row>
    <row r="114" spans="5:9" s="24" customFormat="1" ht="28.5" x14ac:dyDescent="0.2">
      <c r="E114" s="144"/>
      <c r="F114" s="22"/>
      <c r="G114" s="26">
        <v>26300</v>
      </c>
      <c r="H114" s="25" t="s">
        <v>50</v>
      </c>
      <c r="I114" s="19">
        <v>2450000</v>
      </c>
    </row>
    <row r="115" spans="5:9" s="24" customFormat="1" ht="28.5" x14ac:dyDescent="0.2">
      <c r="E115" s="144"/>
      <c r="F115" s="22"/>
      <c r="G115" s="26">
        <v>31120</v>
      </c>
      <c r="H115" s="25" t="s">
        <v>31</v>
      </c>
      <c r="I115" s="19">
        <v>2500</v>
      </c>
    </row>
    <row r="116" spans="5:9" s="24" customFormat="1" ht="28.5" x14ac:dyDescent="0.2">
      <c r="E116" s="144"/>
      <c r="F116" s="22"/>
      <c r="G116" s="26">
        <v>32300</v>
      </c>
      <c r="H116" s="25" t="s">
        <v>162</v>
      </c>
      <c r="I116" s="19">
        <v>16250</v>
      </c>
    </row>
    <row r="117" spans="5:9" s="24" customFormat="1" x14ac:dyDescent="0.2">
      <c r="E117" s="144"/>
      <c r="F117" s="22"/>
      <c r="G117" s="26">
        <v>33300</v>
      </c>
      <c r="H117" s="25" t="s">
        <v>52</v>
      </c>
      <c r="I117" s="19">
        <v>12300</v>
      </c>
    </row>
    <row r="118" spans="5:9" s="24" customFormat="1" x14ac:dyDescent="0.2">
      <c r="E118" s="144"/>
      <c r="F118" s="22"/>
      <c r="G118" s="26">
        <v>33400</v>
      </c>
      <c r="H118" s="25" t="s">
        <v>53</v>
      </c>
      <c r="I118" s="19">
        <v>6240</v>
      </c>
    </row>
    <row r="119" spans="5:9" s="24" customFormat="1" x14ac:dyDescent="0.2">
      <c r="E119" s="144"/>
      <c r="F119" s="22"/>
      <c r="G119" s="26">
        <v>97100</v>
      </c>
      <c r="H119" s="25" t="s">
        <v>163</v>
      </c>
      <c r="I119" s="19">
        <v>2550000</v>
      </c>
    </row>
    <row r="120" spans="5:9" s="24" customFormat="1" ht="28.5" x14ac:dyDescent="0.2">
      <c r="E120" s="144"/>
      <c r="F120" s="22"/>
      <c r="G120" s="26">
        <v>43110</v>
      </c>
      <c r="H120" s="25" t="s">
        <v>130</v>
      </c>
      <c r="I120" s="19">
        <v>13360</v>
      </c>
    </row>
    <row r="121" spans="5:9" s="24" customFormat="1" x14ac:dyDescent="0.2">
      <c r="E121" s="144"/>
      <c r="F121" s="22"/>
      <c r="G121" s="26">
        <v>43120</v>
      </c>
      <c r="H121" s="25" t="s">
        <v>16</v>
      </c>
      <c r="I121" s="19">
        <v>69700</v>
      </c>
    </row>
    <row r="122" spans="5:9" s="24" customFormat="1" x14ac:dyDescent="0.2">
      <c r="E122" s="144"/>
      <c r="F122" s="22"/>
      <c r="G122" s="36">
        <v>43500</v>
      </c>
      <c r="H122" s="23" t="s">
        <v>132</v>
      </c>
      <c r="I122" s="19">
        <v>5600</v>
      </c>
    </row>
    <row r="123" spans="5:9" s="24" customFormat="1" x14ac:dyDescent="0.2">
      <c r="E123" s="145"/>
      <c r="F123" s="22"/>
      <c r="G123" s="26">
        <v>43700</v>
      </c>
      <c r="H123" s="25" t="s">
        <v>166</v>
      </c>
      <c r="I123" s="19">
        <v>30000</v>
      </c>
    </row>
    <row r="124" spans="5:9" s="24" customFormat="1" ht="28.5" x14ac:dyDescent="0.2">
      <c r="E124" s="143" t="s">
        <v>174</v>
      </c>
      <c r="F124" s="143" t="s">
        <v>173</v>
      </c>
      <c r="G124" s="26">
        <v>25220</v>
      </c>
      <c r="H124" s="25" t="s">
        <v>10</v>
      </c>
      <c r="I124" s="19">
        <v>237600</v>
      </c>
    </row>
    <row r="125" spans="5:9" s="24" customFormat="1" ht="28.5" x14ac:dyDescent="0.2">
      <c r="E125" s="144"/>
      <c r="F125" s="144"/>
      <c r="G125" s="26">
        <v>22110</v>
      </c>
      <c r="H125" s="25" t="s">
        <v>11</v>
      </c>
      <c r="I125" s="19">
        <v>5000</v>
      </c>
    </row>
    <row r="126" spans="5:9" s="24" customFormat="1" ht="28.5" x14ac:dyDescent="0.2">
      <c r="E126" s="144"/>
      <c r="F126" s="144"/>
      <c r="G126" s="26">
        <v>22210</v>
      </c>
      <c r="H126" s="25" t="s">
        <v>12</v>
      </c>
      <c r="I126" s="19">
        <v>5936</v>
      </c>
    </row>
    <row r="127" spans="5:9" s="24" customFormat="1" x14ac:dyDescent="0.2">
      <c r="E127" s="144"/>
      <c r="F127" s="144"/>
      <c r="G127" s="26">
        <v>22500</v>
      </c>
      <c r="H127" s="25" t="s">
        <v>48</v>
      </c>
      <c r="I127" s="19">
        <v>360</v>
      </c>
    </row>
    <row r="128" spans="5:9" s="24" customFormat="1" x14ac:dyDescent="0.2">
      <c r="E128" s="144"/>
      <c r="F128" s="144"/>
      <c r="G128" s="26">
        <v>22600</v>
      </c>
      <c r="H128" s="25" t="s">
        <v>28</v>
      </c>
      <c r="I128" s="19">
        <v>157640</v>
      </c>
    </row>
    <row r="129" spans="5:9" s="24" customFormat="1" x14ac:dyDescent="0.2">
      <c r="E129" s="144"/>
      <c r="F129" s="144"/>
      <c r="G129" s="26">
        <v>23100</v>
      </c>
      <c r="H129" s="25" t="s">
        <v>169</v>
      </c>
      <c r="I129" s="19">
        <v>1072800</v>
      </c>
    </row>
    <row r="130" spans="5:9" s="24" customFormat="1" x14ac:dyDescent="0.2">
      <c r="E130" s="144"/>
      <c r="F130" s="144"/>
      <c r="G130" s="26">
        <v>23400</v>
      </c>
      <c r="H130" s="25" t="s">
        <v>128</v>
      </c>
      <c r="I130" s="19">
        <v>1812000</v>
      </c>
    </row>
    <row r="131" spans="5:9" s="24" customFormat="1" ht="28.5" x14ac:dyDescent="0.2">
      <c r="E131" s="144"/>
      <c r="F131" s="144"/>
      <c r="G131" s="26">
        <v>24110</v>
      </c>
      <c r="H131" s="25" t="s">
        <v>129</v>
      </c>
      <c r="I131" s="19">
        <v>54425</v>
      </c>
    </row>
    <row r="132" spans="5:9" s="24" customFormat="1" ht="42.75" x14ac:dyDescent="0.2">
      <c r="E132" s="144"/>
      <c r="F132" s="144"/>
      <c r="G132" s="26">
        <v>24120</v>
      </c>
      <c r="H132" s="25" t="s">
        <v>164</v>
      </c>
      <c r="I132" s="19">
        <v>72199</v>
      </c>
    </row>
    <row r="133" spans="5:9" s="24" customFormat="1" ht="28.5" x14ac:dyDescent="0.2">
      <c r="E133" s="144"/>
      <c r="F133" s="144"/>
      <c r="G133" s="26">
        <v>24130</v>
      </c>
      <c r="H133" s="25" t="s">
        <v>161</v>
      </c>
      <c r="I133" s="19">
        <v>5950</v>
      </c>
    </row>
    <row r="134" spans="5:9" s="24" customFormat="1" ht="42.75" x14ac:dyDescent="0.2">
      <c r="E134" s="144"/>
      <c r="F134" s="144"/>
      <c r="G134" s="26">
        <v>24300</v>
      </c>
      <c r="H134" s="25" t="s">
        <v>167</v>
      </c>
      <c r="I134" s="19">
        <v>600</v>
      </c>
    </row>
    <row r="135" spans="5:9" s="24" customFormat="1" x14ac:dyDescent="0.2">
      <c r="E135" s="144"/>
      <c r="F135" s="144"/>
      <c r="G135" s="26">
        <v>25500</v>
      </c>
      <c r="H135" s="25" t="s">
        <v>32</v>
      </c>
      <c r="I135" s="19">
        <v>8500</v>
      </c>
    </row>
    <row r="136" spans="5:9" s="24" customFormat="1" ht="42.75" x14ac:dyDescent="0.2">
      <c r="E136" s="144"/>
      <c r="F136" s="144"/>
      <c r="G136" s="26">
        <v>25600</v>
      </c>
      <c r="H136" s="25" t="s">
        <v>14</v>
      </c>
      <c r="I136" s="19">
        <v>7801</v>
      </c>
    </row>
    <row r="137" spans="5:9" s="24" customFormat="1" ht="28.5" x14ac:dyDescent="0.2">
      <c r="E137" s="144"/>
      <c r="F137" s="144"/>
      <c r="G137" s="26">
        <v>25700</v>
      </c>
      <c r="H137" s="25" t="s">
        <v>15</v>
      </c>
      <c r="I137" s="19">
        <v>2640</v>
      </c>
    </row>
    <row r="138" spans="5:9" s="24" customFormat="1" x14ac:dyDescent="0.2">
      <c r="E138" s="144"/>
      <c r="F138" s="144"/>
      <c r="G138" s="26">
        <v>26990</v>
      </c>
      <c r="H138" s="25" t="s">
        <v>51</v>
      </c>
      <c r="I138" s="19">
        <v>4885420</v>
      </c>
    </row>
    <row r="139" spans="5:9" s="24" customFormat="1" ht="28.5" x14ac:dyDescent="0.2">
      <c r="E139" s="144"/>
      <c r="F139" s="144"/>
      <c r="G139" s="26">
        <v>31120</v>
      </c>
      <c r="H139" s="25" t="s">
        <v>31</v>
      </c>
      <c r="I139" s="19">
        <v>12188</v>
      </c>
    </row>
    <row r="140" spans="5:9" s="24" customFormat="1" ht="42.75" x14ac:dyDescent="0.2">
      <c r="E140" s="144"/>
      <c r="F140" s="144"/>
      <c r="G140" s="26">
        <v>31140</v>
      </c>
      <c r="H140" s="25" t="s">
        <v>170</v>
      </c>
      <c r="I140" s="19">
        <v>50046</v>
      </c>
    </row>
    <row r="141" spans="5:9" s="24" customFormat="1" x14ac:dyDescent="0.2">
      <c r="E141" s="144"/>
      <c r="F141" s="144"/>
      <c r="G141" s="26">
        <v>33300</v>
      </c>
      <c r="H141" s="25" t="s">
        <v>52</v>
      </c>
      <c r="I141" s="19">
        <v>3510</v>
      </c>
    </row>
    <row r="142" spans="5:9" s="24" customFormat="1" x14ac:dyDescent="0.2">
      <c r="E142" s="144"/>
      <c r="F142" s="144"/>
      <c r="G142" s="26">
        <v>33400</v>
      </c>
      <c r="H142" s="25" t="s">
        <v>53</v>
      </c>
      <c r="I142" s="19">
        <v>3588</v>
      </c>
    </row>
    <row r="143" spans="5:9" s="24" customFormat="1" ht="42.75" x14ac:dyDescent="0.2">
      <c r="E143" s="144"/>
      <c r="F143" s="144"/>
      <c r="G143" s="26">
        <v>34110</v>
      </c>
      <c r="H143" s="25" t="s">
        <v>54</v>
      </c>
      <c r="I143" s="19">
        <v>65159</v>
      </c>
    </row>
    <row r="144" spans="5:9" s="24" customFormat="1" x14ac:dyDescent="0.2">
      <c r="E144" s="144"/>
      <c r="F144" s="144"/>
      <c r="G144" s="26">
        <v>34300</v>
      </c>
      <c r="H144" s="25" t="s">
        <v>56</v>
      </c>
      <c r="I144" s="19">
        <v>39000</v>
      </c>
    </row>
    <row r="145" spans="5:9" s="24" customFormat="1" ht="28.5" x14ac:dyDescent="0.2">
      <c r="E145" s="144"/>
      <c r="F145" s="144"/>
      <c r="G145" s="26">
        <v>39800</v>
      </c>
      <c r="H145" s="25" t="s">
        <v>61</v>
      </c>
      <c r="I145" s="19">
        <v>27274</v>
      </c>
    </row>
    <row r="146" spans="5:9" s="24" customFormat="1" x14ac:dyDescent="0.2">
      <c r="E146" s="144"/>
      <c r="F146" s="144"/>
      <c r="G146" s="26">
        <v>21200</v>
      </c>
      <c r="H146" s="25" t="s">
        <v>143</v>
      </c>
      <c r="I146" s="19">
        <v>87600</v>
      </c>
    </row>
    <row r="147" spans="5:9" s="24" customFormat="1" x14ac:dyDescent="0.2">
      <c r="E147" s="144"/>
      <c r="F147" s="144"/>
      <c r="G147" s="26">
        <v>21400</v>
      </c>
      <c r="H147" s="25" t="s">
        <v>145</v>
      </c>
      <c r="I147" s="19">
        <v>4320</v>
      </c>
    </row>
    <row r="148" spans="5:9" s="24" customFormat="1" x14ac:dyDescent="0.2">
      <c r="E148" s="144"/>
      <c r="F148" s="144"/>
      <c r="G148" s="26">
        <v>85100</v>
      </c>
      <c r="H148" s="25" t="s">
        <v>151</v>
      </c>
      <c r="I148" s="19">
        <v>2160</v>
      </c>
    </row>
    <row r="149" spans="5:9" s="24" customFormat="1" x14ac:dyDescent="0.2">
      <c r="E149" s="144"/>
      <c r="F149" s="144"/>
      <c r="G149" s="26">
        <v>86100</v>
      </c>
      <c r="H149" s="25" t="s">
        <v>171</v>
      </c>
      <c r="I149" s="19">
        <v>116000</v>
      </c>
    </row>
    <row r="150" spans="5:9" s="24" customFormat="1" ht="28.5" x14ac:dyDescent="0.2">
      <c r="E150" s="144"/>
      <c r="F150" s="144"/>
      <c r="G150" s="26">
        <v>43110</v>
      </c>
      <c r="H150" s="25" t="s">
        <v>130</v>
      </c>
      <c r="I150" s="19">
        <v>10920</v>
      </c>
    </row>
    <row r="151" spans="5:9" s="24" customFormat="1" x14ac:dyDescent="0.2">
      <c r="E151" s="144"/>
      <c r="F151" s="144"/>
      <c r="G151" s="26">
        <v>43120</v>
      </c>
      <c r="H151" s="25" t="s">
        <v>16</v>
      </c>
      <c r="I151" s="24">
        <v>93200</v>
      </c>
    </row>
    <row r="152" spans="5:9" s="24" customFormat="1" x14ac:dyDescent="0.2">
      <c r="E152" s="145"/>
      <c r="F152" s="144"/>
      <c r="G152" s="26">
        <v>43700</v>
      </c>
      <c r="H152" s="25" t="s">
        <v>166</v>
      </c>
      <c r="I152" s="19">
        <v>13700</v>
      </c>
    </row>
    <row r="153" spans="5:9" s="24" customFormat="1" ht="57" customHeight="1" x14ac:dyDescent="0.2">
      <c r="E153" s="42" t="s">
        <v>44</v>
      </c>
      <c r="F153" s="43"/>
      <c r="G153" s="26">
        <v>25220</v>
      </c>
      <c r="H153" s="25" t="s">
        <v>10</v>
      </c>
      <c r="I153" s="19">
        <v>4359528</v>
      </c>
    </row>
    <row r="154" spans="5:9" s="24" customFormat="1" ht="28.5" x14ac:dyDescent="0.2">
      <c r="E154" s="43"/>
      <c r="F154" s="43"/>
      <c r="G154" s="26">
        <v>22110</v>
      </c>
      <c r="H154" s="25" t="s">
        <v>11</v>
      </c>
      <c r="I154" s="19">
        <v>111600</v>
      </c>
    </row>
    <row r="155" spans="5:9" s="24" customFormat="1" ht="28.5" x14ac:dyDescent="0.2">
      <c r="E155" s="43"/>
      <c r="F155" s="43"/>
      <c r="G155" s="26">
        <v>22120</v>
      </c>
      <c r="H155" s="25" t="s">
        <v>46</v>
      </c>
      <c r="I155" s="19">
        <v>600000</v>
      </c>
    </row>
    <row r="156" spans="5:9" s="24" customFormat="1" ht="28.5" x14ac:dyDescent="0.2">
      <c r="E156" s="43"/>
      <c r="F156" s="43"/>
      <c r="G156" s="26">
        <v>22210</v>
      </c>
      <c r="H156" s="25" t="s">
        <v>12</v>
      </c>
      <c r="I156" s="19">
        <v>908208</v>
      </c>
    </row>
    <row r="157" spans="5:9" s="24" customFormat="1" ht="28.5" x14ac:dyDescent="0.2">
      <c r="E157" s="43"/>
      <c r="F157" s="43"/>
      <c r="G157" s="26">
        <v>22220</v>
      </c>
      <c r="H157" s="25" t="s">
        <v>160</v>
      </c>
      <c r="I157" s="19">
        <v>420475</v>
      </c>
    </row>
    <row r="158" spans="5:9" s="24" customFormat="1" x14ac:dyDescent="0.2">
      <c r="E158" s="43"/>
      <c r="F158" s="43"/>
      <c r="G158" s="26">
        <v>22500</v>
      </c>
      <c r="H158" s="25" t="s">
        <v>48</v>
      </c>
      <c r="I158" s="19">
        <v>260500</v>
      </c>
    </row>
    <row r="159" spans="5:9" s="24" customFormat="1" x14ac:dyDescent="0.2">
      <c r="E159" s="43"/>
      <c r="F159" s="43"/>
      <c r="G159" s="26">
        <v>22600</v>
      </c>
      <c r="H159" s="25" t="s">
        <v>28</v>
      </c>
      <c r="I159" s="19">
        <v>50000</v>
      </c>
    </row>
    <row r="160" spans="5:9" s="24" customFormat="1" ht="42.75" x14ac:dyDescent="0.2">
      <c r="E160" s="43"/>
      <c r="F160" s="43"/>
      <c r="G160" s="26">
        <v>24120</v>
      </c>
      <c r="H160" s="25" t="s">
        <v>164</v>
      </c>
      <c r="I160" s="19">
        <v>2000</v>
      </c>
    </row>
    <row r="161" spans="5:9" s="24" customFormat="1" ht="42.75" x14ac:dyDescent="0.2">
      <c r="E161" s="43"/>
      <c r="F161" s="43"/>
      <c r="G161" s="26">
        <v>25600</v>
      </c>
      <c r="H161" s="25" t="s">
        <v>14</v>
      </c>
      <c r="I161" s="19">
        <v>187470</v>
      </c>
    </row>
    <row r="162" spans="5:9" s="24" customFormat="1" ht="28.5" x14ac:dyDescent="0.2">
      <c r="E162" s="43"/>
      <c r="F162" s="43"/>
      <c r="G162" s="26">
        <v>25700</v>
      </c>
      <c r="H162" s="25" t="s">
        <v>15</v>
      </c>
      <c r="I162" s="19">
        <v>1171212</v>
      </c>
    </row>
    <row r="163" spans="5:9" s="24" customFormat="1" ht="28.5" x14ac:dyDescent="0.2">
      <c r="E163" s="43"/>
      <c r="F163" s="43"/>
      <c r="G163" s="26">
        <v>26300</v>
      </c>
      <c r="H163" s="25" t="s">
        <v>50</v>
      </c>
      <c r="I163" s="19">
        <v>55000</v>
      </c>
    </row>
    <row r="164" spans="5:9" s="24" customFormat="1" x14ac:dyDescent="0.2">
      <c r="E164" s="43"/>
      <c r="F164" s="43"/>
      <c r="G164" s="26">
        <v>26990</v>
      </c>
      <c r="H164" s="25" t="s">
        <v>51</v>
      </c>
      <c r="I164" s="19">
        <v>40000</v>
      </c>
    </row>
    <row r="165" spans="5:9" s="24" customFormat="1" ht="28.5" x14ac:dyDescent="0.2">
      <c r="E165" s="43"/>
      <c r="F165" s="43"/>
      <c r="G165" s="26">
        <v>31120</v>
      </c>
      <c r="H165" s="25" t="s">
        <v>31</v>
      </c>
      <c r="I165" s="19">
        <v>6000</v>
      </c>
    </row>
    <row r="166" spans="5:9" s="24" customFormat="1" x14ac:dyDescent="0.2">
      <c r="E166" s="43"/>
      <c r="F166" s="43"/>
      <c r="G166" s="26">
        <v>33200</v>
      </c>
      <c r="H166" s="25" t="s">
        <v>165</v>
      </c>
      <c r="I166" s="19">
        <v>3400</v>
      </c>
    </row>
    <row r="167" spans="5:9" s="24" customFormat="1" x14ac:dyDescent="0.2">
      <c r="E167" s="43"/>
      <c r="F167" s="43"/>
      <c r="G167" s="26">
        <v>33300</v>
      </c>
      <c r="H167" s="25" t="s">
        <v>52</v>
      </c>
      <c r="I167" s="19">
        <v>51710</v>
      </c>
    </row>
    <row r="168" spans="5:9" s="24" customFormat="1" x14ac:dyDescent="0.2">
      <c r="E168" s="43"/>
      <c r="F168" s="43"/>
      <c r="G168" s="26">
        <v>33400</v>
      </c>
      <c r="H168" s="25" t="s">
        <v>53</v>
      </c>
      <c r="I168" s="19">
        <v>14080</v>
      </c>
    </row>
    <row r="169" spans="5:9" s="24" customFormat="1" ht="42.75" x14ac:dyDescent="0.2">
      <c r="E169" s="43"/>
      <c r="F169" s="43"/>
      <c r="G169" s="26">
        <v>34110</v>
      </c>
      <c r="H169" s="25" t="s">
        <v>54</v>
      </c>
      <c r="I169" s="19">
        <v>67514572</v>
      </c>
    </row>
    <row r="170" spans="5:9" s="24" customFormat="1" ht="28.5" x14ac:dyDescent="0.2">
      <c r="E170" s="43"/>
      <c r="F170" s="43"/>
      <c r="G170" s="26">
        <v>34500</v>
      </c>
      <c r="H170" s="25" t="s">
        <v>57</v>
      </c>
      <c r="I170" s="19">
        <v>11646</v>
      </c>
    </row>
    <row r="171" spans="5:9" s="24" customFormat="1" ht="28.5" x14ac:dyDescent="0.2">
      <c r="E171" s="43"/>
      <c r="F171" s="43"/>
      <c r="G171" s="26">
        <v>39100</v>
      </c>
      <c r="H171" s="25" t="s">
        <v>60</v>
      </c>
      <c r="I171" s="19">
        <v>15602</v>
      </c>
    </row>
    <row r="172" spans="5:9" s="24" customFormat="1" ht="28.5" x14ac:dyDescent="0.2">
      <c r="E172" s="43"/>
      <c r="F172" s="43"/>
      <c r="G172" s="26">
        <v>39990</v>
      </c>
      <c r="H172" s="25" t="s">
        <v>62</v>
      </c>
      <c r="I172" s="19">
        <v>7750</v>
      </c>
    </row>
    <row r="173" spans="5:9" s="24" customFormat="1" x14ac:dyDescent="0.2">
      <c r="E173" s="43"/>
      <c r="F173" s="43"/>
      <c r="G173" s="26">
        <v>43120</v>
      </c>
      <c r="H173" s="25" t="s">
        <v>16</v>
      </c>
      <c r="I173" s="19">
        <v>7300</v>
      </c>
    </row>
    <row r="174" spans="5:9" s="24" customFormat="1" x14ac:dyDescent="0.2">
      <c r="E174" s="43"/>
      <c r="F174" s="43"/>
      <c r="G174" s="26">
        <v>43500</v>
      </c>
      <c r="H174" s="25" t="s">
        <v>132</v>
      </c>
      <c r="I174" s="19">
        <v>2800</v>
      </c>
    </row>
    <row r="175" spans="5:9" s="24" customFormat="1" x14ac:dyDescent="0.2">
      <c r="E175" s="43"/>
      <c r="F175" s="44"/>
      <c r="G175" s="36">
        <v>43700</v>
      </c>
      <c r="H175" s="23" t="s">
        <v>166</v>
      </c>
      <c r="I175" s="19">
        <v>28000</v>
      </c>
    </row>
    <row r="176" spans="5:9" s="24" customFormat="1" ht="60" customHeight="1" x14ac:dyDescent="0.2">
      <c r="E176" s="43"/>
      <c r="F176" s="146" t="s">
        <v>45</v>
      </c>
      <c r="G176" s="26">
        <v>25220</v>
      </c>
      <c r="H176" s="25" t="s">
        <v>10</v>
      </c>
      <c r="I176" s="19">
        <v>243264</v>
      </c>
    </row>
    <row r="177" spans="5:9" s="24" customFormat="1" ht="28.5" x14ac:dyDescent="0.2">
      <c r="E177" s="43"/>
      <c r="F177" s="146"/>
      <c r="G177" s="26">
        <v>22110</v>
      </c>
      <c r="H177" s="25" t="s">
        <v>11</v>
      </c>
      <c r="I177" s="19">
        <v>22938</v>
      </c>
    </row>
    <row r="178" spans="5:9" s="24" customFormat="1" ht="28.5" x14ac:dyDescent="0.2">
      <c r="E178" s="43"/>
      <c r="F178" s="146"/>
      <c r="G178" s="26">
        <v>22120</v>
      </c>
      <c r="H178" s="25" t="s">
        <v>46</v>
      </c>
      <c r="I178" s="19">
        <v>80000</v>
      </c>
    </row>
    <row r="179" spans="5:9" s="24" customFormat="1" ht="28.5" x14ac:dyDescent="0.2">
      <c r="E179" s="43"/>
      <c r="F179" s="146"/>
      <c r="G179" s="26">
        <v>22210</v>
      </c>
      <c r="H179" s="25" t="s">
        <v>12</v>
      </c>
      <c r="I179" s="19">
        <v>23744</v>
      </c>
    </row>
    <row r="180" spans="5:9" s="24" customFormat="1" ht="28.5" x14ac:dyDescent="0.2">
      <c r="E180" s="43"/>
      <c r="F180" s="146"/>
      <c r="G180" s="26">
        <v>22220</v>
      </c>
      <c r="H180" s="25" t="s">
        <v>160</v>
      </c>
      <c r="I180" s="19">
        <v>22080</v>
      </c>
    </row>
    <row r="181" spans="5:9" s="24" customFormat="1" x14ac:dyDescent="0.2">
      <c r="E181" s="43"/>
      <c r="F181" s="146"/>
      <c r="G181" s="26">
        <v>22300</v>
      </c>
      <c r="H181" s="25" t="s">
        <v>47</v>
      </c>
      <c r="I181" s="19">
        <v>300000</v>
      </c>
    </row>
    <row r="182" spans="5:9" s="24" customFormat="1" x14ac:dyDescent="0.2">
      <c r="E182" s="43"/>
      <c r="F182" s="146"/>
      <c r="G182" s="26">
        <v>22500</v>
      </c>
      <c r="H182" s="25" t="s">
        <v>48</v>
      </c>
      <c r="I182" s="19">
        <v>2042354</v>
      </c>
    </row>
    <row r="183" spans="5:9" s="24" customFormat="1" x14ac:dyDescent="0.2">
      <c r="E183" s="43"/>
      <c r="F183" s="146"/>
      <c r="G183" s="26">
        <v>22600</v>
      </c>
      <c r="H183" s="25" t="s">
        <v>28</v>
      </c>
      <c r="I183" s="19">
        <v>304800</v>
      </c>
    </row>
    <row r="184" spans="5:9" s="24" customFormat="1" ht="28.5" x14ac:dyDescent="0.2">
      <c r="E184" s="43"/>
      <c r="F184" s="146"/>
      <c r="G184" s="26">
        <v>23200</v>
      </c>
      <c r="H184" s="25" t="s">
        <v>49</v>
      </c>
      <c r="I184" s="19">
        <v>371000</v>
      </c>
    </row>
    <row r="185" spans="5:9" s="24" customFormat="1" ht="42.75" x14ac:dyDescent="0.2">
      <c r="E185" s="43"/>
      <c r="F185" s="146"/>
      <c r="G185" s="26">
        <v>24120</v>
      </c>
      <c r="H185" s="25" t="s">
        <v>164</v>
      </c>
      <c r="I185" s="19">
        <v>32000</v>
      </c>
    </row>
    <row r="186" spans="5:9" s="24" customFormat="1" ht="42.75" x14ac:dyDescent="0.2">
      <c r="E186" s="43"/>
      <c r="F186" s="146"/>
      <c r="G186" s="26">
        <v>24300</v>
      </c>
      <c r="H186" s="25" t="s">
        <v>167</v>
      </c>
      <c r="I186" s="19">
        <v>2997861</v>
      </c>
    </row>
    <row r="187" spans="5:9" s="24" customFormat="1" ht="42.75" x14ac:dyDescent="0.2">
      <c r="E187" s="43"/>
      <c r="F187" s="146"/>
      <c r="G187" s="26">
        <v>25600</v>
      </c>
      <c r="H187" s="25" t="s">
        <v>14</v>
      </c>
      <c r="I187" s="19">
        <v>1500</v>
      </c>
    </row>
    <row r="188" spans="5:9" s="24" customFormat="1" ht="28.5" x14ac:dyDescent="0.2">
      <c r="E188" s="43"/>
      <c r="F188" s="146"/>
      <c r="G188" s="26">
        <v>25700</v>
      </c>
      <c r="H188" s="25" t="s">
        <v>15</v>
      </c>
      <c r="I188" s="19">
        <v>210000</v>
      </c>
    </row>
    <row r="189" spans="5:9" s="24" customFormat="1" ht="28.5" x14ac:dyDescent="0.2">
      <c r="E189" s="43"/>
      <c r="F189" s="146"/>
      <c r="G189" s="26">
        <v>26300</v>
      </c>
      <c r="H189" s="25" t="s">
        <v>50</v>
      </c>
      <c r="I189" s="19">
        <v>375140</v>
      </c>
    </row>
    <row r="190" spans="5:9" s="24" customFormat="1" x14ac:dyDescent="0.2">
      <c r="E190" s="43"/>
      <c r="F190" s="146"/>
      <c r="G190" s="26">
        <v>26990</v>
      </c>
      <c r="H190" s="25" t="s">
        <v>51</v>
      </c>
      <c r="I190" s="19">
        <v>103100</v>
      </c>
    </row>
    <row r="191" spans="5:9" s="24" customFormat="1" ht="28.5" x14ac:dyDescent="0.2">
      <c r="E191" s="43"/>
      <c r="F191" s="146"/>
      <c r="G191" s="26">
        <v>31120</v>
      </c>
      <c r="H191" s="25" t="s">
        <v>31</v>
      </c>
      <c r="I191" s="19">
        <v>1680</v>
      </c>
    </row>
    <row r="192" spans="5:9" s="24" customFormat="1" x14ac:dyDescent="0.2">
      <c r="E192" s="43"/>
      <c r="F192" s="146"/>
      <c r="G192" s="26">
        <v>33300</v>
      </c>
      <c r="H192" s="25" t="s">
        <v>52</v>
      </c>
      <c r="I192" s="19">
        <v>18150</v>
      </c>
    </row>
    <row r="193" spans="5:9" s="24" customFormat="1" x14ac:dyDescent="0.2">
      <c r="E193" s="43"/>
      <c r="F193" s="146"/>
      <c r="G193" s="26">
        <v>33400</v>
      </c>
      <c r="H193" s="25" t="s">
        <v>53</v>
      </c>
      <c r="I193" s="19">
        <v>15000</v>
      </c>
    </row>
    <row r="194" spans="5:9" s="24" customFormat="1" ht="13.5" customHeight="1" x14ac:dyDescent="0.2">
      <c r="E194" s="43"/>
      <c r="F194" s="146"/>
      <c r="G194" s="26">
        <v>34110</v>
      </c>
      <c r="H194" s="25" t="s">
        <v>54</v>
      </c>
      <c r="I194" s="19">
        <v>609890</v>
      </c>
    </row>
    <row r="195" spans="5:9" s="24" customFormat="1" ht="28.5" x14ac:dyDescent="0.2">
      <c r="E195" s="43"/>
      <c r="F195" s="146"/>
      <c r="G195" s="26">
        <v>34200</v>
      </c>
      <c r="H195" s="25" t="s">
        <v>55</v>
      </c>
      <c r="I195" s="19">
        <v>460121</v>
      </c>
    </row>
    <row r="196" spans="5:9" s="24" customFormat="1" x14ac:dyDescent="0.2">
      <c r="E196" s="43"/>
      <c r="F196" s="146"/>
      <c r="G196" s="26">
        <v>34300</v>
      </c>
      <c r="H196" s="25" t="s">
        <v>56</v>
      </c>
      <c r="I196" s="19">
        <v>2991900</v>
      </c>
    </row>
    <row r="197" spans="5:9" s="24" customFormat="1" ht="28.5" x14ac:dyDescent="0.2">
      <c r="E197" s="43"/>
      <c r="F197" s="146"/>
      <c r="G197" s="26">
        <v>34400</v>
      </c>
      <c r="H197" s="25" t="s">
        <v>30</v>
      </c>
      <c r="I197" s="19">
        <v>42720</v>
      </c>
    </row>
    <row r="198" spans="5:9" s="24" customFormat="1" ht="28.5" x14ac:dyDescent="0.2">
      <c r="E198" s="43"/>
      <c r="F198" s="22"/>
      <c r="G198" s="26">
        <v>34500</v>
      </c>
      <c r="H198" s="25" t="s">
        <v>57</v>
      </c>
      <c r="I198" s="19">
        <v>2880</v>
      </c>
    </row>
    <row r="199" spans="5:9" s="24" customFormat="1" x14ac:dyDescent="0.2">
      <c r="E199" s="43"/>
      <c r="F199" s="22"/>
      <c r="G199" s="26">
        <v>34600</v>
      </c>
      <c r="H199" s="25" t="s">
        <v>58</v>
      </c>
      <c r="I199" s="19">
        <v>26627</v>
      </c>
    </row>
    <row r="200" spans="5:9" s="24" customFormat="1" x14ac:dyDescent="0.2">
      <c r="E200" s="43"/>
      <c r="F200" s="22"/>
      <c r="G200" s="26">
        <v>34800</v>
      </c>
      <c r="H200" s="25" t="s">
        <v>59</v>
      </c>
      <c r="I200" s="19">
        <v>2160</v>
      </c>
    </row>
    <row r="201" spans="5:9" s="24" customFormat="1" ht="28.5" x14ac:dyDescent="0.2">
      <c r="E201" s="43"/>
      <c r="F201" s="22"/>
      <c r="G201" s="26">
        <v>39100</v>
      </c>
      <c r="H201" s="25" t="s">
        <v>60</v>
      </c>
      <c r="I201" s="19">
        <v>32426</v>
      </c>
    </row>
    <row r="202" spans="5:9" s="24" customFormat="1" ht="28.5" x14ac:dyDescent="0.2">
      <c r="E202" s="43"/>
      <c r="F202" s="22"/>
      <c r="G202" s="22">
        <v>39700</v>
      </c>
      <c r="H202" s="25" t="s">
        <v>136</v>
      </c>
      <c r="I202" s="19">
        <v>19411</v>
      </c>
    </row>
    <row r="203" spans="5:9" s="24" customFormat="1" ht="28.5" x14ac:dyDescent="0.2">
      <c r="E203" s="43"/>
      <c r="F203" s="22"/>
      <c r="G203" s="26">
        <v>39800</v>
      </c>
      <c r="H203" s="25" t="s">
        <v>61</v>
      </c>
      <c r="I203" s="19">
        <v>3821148</v>
      </c>
    </row>
    <row r="204" spans="5:9" s="24" customFormat="1" ht="28.5" x14ac:dyDescent="0.2">
      <c r="E204" s="43"/>
      <c r="F204" s="22"/>
      <c r="G204" s="26">
        <v>39990</v>
      </c>
      <c r="H204" s="25" t="s">
        <v>62</v>
      </c>
      <c r="I204" s="19">
        <v>56560</v>
      </c>
    </row>
    <row r="205" spans="5:9" s="24" customFormat="1" x14ac:dyDescent="0.2">
      <c r="E205" s="43"/>
      <c r="F205" s="22"/>
      <c r="G205" s="26">
        <v>21100</v>
      </c>
      <c r="H205" s="25" t="s">
        <v>63</v>
      </c>
      <c r="I205" s="19">
        <v>6000</v>
      </c>
    </row>
    <row r="206" spans="5:9" s="24" customFormat="1" ht="28.5" x14ac:dyDescent="0.2">
      <c r="E206" s="43"/>
      <c r="F206" s="22"/>
      <c r="G206" s="26">
        <v>43110</v>
      </c>
      <c r="H206" s="25" t="s">
        <v>130</v>
      </c>
      <c r="I206" s="19">
        <v>4000</v>
      </c>
    </row>
    <row r="207" spans="5:9" s="24" customFormat="1" x14ac:dyDescent="0.2">
      <c r="E207" s="43"/>
      <c r="F207" s="22"/>
      <c r="G207" s="26">
        <v>43120</v>
      </c>
      <c r="H207" s="25" t="s">
        <v>16</v>
      </c>
      <c r="I207" s="19">
        <v>15000</v>
      </c>
    </row>
    <row r="208" spans="5:9" s="24" customFormat="1" x14ac:dyDescent="0.2">
      <c r="E208" s="44"/>
      <c r="F208" s="22"/>
      <c r="G208" s="26">
        <v>43700</v>
      </c>
      <c r="H208" s="25" t="s">
        <v>166</v>
      </c>
      <c r="I208" s="19">
        <v>39090</v>
      </c>
    </row>
    <row r="209" spans="5:9" s="24" customFormat="1" ht="21" customHeight="1" x14ac:dyDescent="0.2">
      <c r="E209" s="143" t="s">
        <v>168</v>
      </c>
      <c r="F209" s="30" t="s">
        <v>65</v>
      </c>
      <c r="G209" s="26">
        <v>25220</v>
      </c>
      <c r="H209" s="25" t="s">
        <v>10</v>
      </c>
      <c r="I209" s="19">
        <v>382998</v>
      </c>
    </row>
    <row r="210" spans="5:9" s="24" customFormat="1" ht="37.5" customHeight="1" x14ac:dyDescent="0.2">
      <c r="E210" s="144"/>
      <c r="F210" s="30"/>
      <c r="G210" s="26">
        <v>22110</v>
      </c>
      <c r="H210" s="25" t="s">
        <v>11</v>
      </c>
      <c r="I210" s="19">
        <v>1600</v>
      </c>
    </row>
    <row r="211" spans="5:9" s="24" customFormat="1" ht="37.5" customHeight="1" x14ac:dyDescent="0.2">
      <c r="E211" s="144"/>
      <c r="F211" s="30"/>
      <c r="G211" s="26">
        <v>22120</v>
      </c>
      <c r="H211" s="25" t="s">
        <v>46</v>
      </c>
      <c r="I211" s="19">
        <v>16000</v>
      </c>
    </row>
    <row r="212" spans="5:9" s="24" customFormat="1" ht="37.5" customHeight="1" x14ac:dyDescent="0.2">
      <c r="E212" s="144"/>
      <c r="F212" s="30"/>
      <c r="G212" s="26">
        <v>22210</v>
      </c>
      <c r="H212" s="25" t="s">
        <v>12</v>
      </c>
      <c r="I212" s="19">
        <v>6678</v>
      </c>
    </row>
    <row r="213" spans="5:9" s="24" customFormat="1" ht="37.5" customHeight="1" x14ac:dyDescent="0.2">
      <c r="E213" s="144"/>
      <c r="F213" s="30"/>
      <c r="G213" s="26">
        <v>22220</v>
      </c>
      <c r="H213" s="25" t="s">
        <v>160</v>
      </c>
      <c r="I213" s="19">
        <v>20600</v>
      </c>
    </row>
    <row r="214" spans="5:9" s="24" customFormat="1" ht="37.5" customHeight="1" x14ac:dyDescent="0.2">
      <c r="E214" s="144"/>
      <c r="F214" s="30"/>
      <c r="G214" s="26">
        <v>22600</v>
      </c>
      <c r="H214" s="25" t="s">
        <v>28</v>
      </c>
      <c r="I214" s="19">
        <v>96000</v>
      </c>
    </row>
    <row r="215" spans="5:9" s="24" customFormat="1" ht="37.5" customHeight="1" x14ac:dyDescent="0.2">
      <c r="E215" s="144"/>
      <c r="F215" s="30"/>
      <c r="G215" s="26">
        <v>25600</v>
      </c>
      <c r="H215" s="25" t="s">
        <v>14</v>
      </c>
      <c r="I215" s="19">
        <v>14465</v>
      </c>
    </row>
    <row r="216" spans="5:9" s="24" customFormat="1" ht="37.5" customHeight="1" x14ac:dyDescent="0.2">
      <c r="E216" s="144"/>
      <c r="F216" s="30"/>
      <c r="G216" s="26">
        <v>25700</v>
      </c>
      <c r="H216" s="25" t="s">
        <v>15</v>
      </c>
      <c r="I216" s="19">
        <v>15988</v>
      </c>
    </row>
    <row r="217" spans="5:9" s="24" customFormat="1" ht="37.5" customHeight="1" x14ac:dyDescent="0.2">
      <c r="E217" s="144"/>
      <c r="F217" s="30"/>
      <c r="G217" s="26">
        <v>26990</v>
      </c>
      <c r="H217" s="25" t="s">
        <v>51</v>
      </c>
      <c r="I217" s="19">
        <v>9000</v>
      </c>
    </row>
    <row r="218" spans="5:9" s="24" customFormat="1" ht="37.5" customHeight="1" x14ac:dyDescent="0.2">
      <c r="E218" s="144"/>
      <c r="F218" s="30" t="s">
        <v>66</v>
      </c>
      <c r="G218" s="26">
        <v>31120</v>
      </c>
      <c r="H218" s="25" t="s">
        <v>31</v>
      </c>
      <c r="I218" s="19">
        <v>13200</v>
      </c>
    </row>
    <row r="219" spans="5:9" s="24" customFormat="1" ht="37.5" customHeight="1" x14ac:dyDescent="0.2">
      <c r="E219" s="144"/>
      <c r="F219" s="30"/>
      <c r="G219" s="26">
        <v>33300</v>
      </c>
      <c r="H219" s="25" t="s">
        <v>52</v>
      </c>
      <c r="I219" s="19">
        <v>7500</v>
      </c>
    </row>
    <row r="220" spans="5:9" s="24" customFormat="1" ht="37.5" customHeight="1" x14ac:dyDescent="0.2">
      <c r="E220" s="144"/>
      <c r="F220" s="30"/>
      <c r="G220" s="26">
        <v>34200</v>
      </c>
      <c r="H220" s="25" t="s">
        <v>55</v>
      </c>
      <c r="I220" s="19">
        <v>15500</v>
      </c>
    </row>
    <row r="221" spans="5:9" s="24" customFormat="1" ht="37.5" customHeight="1" x14ac:dyDescent="0.2">
      <c r="E221" s="144"/>
      <c r="F221" s="30" t="s">
        <v>67</v>
      </c>
      <c r="G221" s="26">
        <v>39400</v>
      </c>
      <c r="H221" s="25" t="s">
        <v>135</v>
      </c>
      <c r="I221" s="19">
        <v>1000</v>
      </c>
    </row>
    <row r="222" spans="5:9" s="24" customFormat="1" ht="37.5" customHeight="1" x14ac:dyDescent="0.2">
      <c r="E222" s="144"/>
      <c r="F222" s="30" t="s">
        <v>68</v>
      </c>
      <c r="G222" s="26">
        <v>39990</v>
      </c>
      <c r="H222" s="25" t="s">
        <v>62</v>
      </c>
      <c r="I222" s="19">
        <v>3750</v>
      </c>
    </row>
    <row r="223" spans="5:9" s="24" customFormat="1" ht="21" customHeight="1" x14ac:dyDescent="0.2">
      <c r="E223" s="144"/>
      <c r="F223" s="30"/>
      <c r="G223" s="26">
        <v>43120</v>
      </c>
      <c r="H223" s="25" t="s">
        <v>16</v>
      </c>
      <c r="I223" s="19">
        <v>14800</v>
      </c>
    </row>
    <row r="224" spans="5:9" s="24" customFormat="1" ht="21" customHeight="1" x14ac:dyDescent="0.2">
      <c r="E224" s="144"/>
      <c r="F224" s="30"/>
      <c r="G224" s="36">
        <v>43500</v>
      </c>
      <c r="H224" s="23" t="s">
        <v>132</v>
      </c>
      <c r="I224" s="19">
        <v>5600</v>
      </c>
    </row>
    <row r="225" spans="5:9" s="24" customFormat="1" ht="21" customHeight="1" x14ac:dyDescent="0.2">
      <c r="E225" s="145"/>
      <c r="F225" s="23"/>
      <c r="G225" s="26">
        <v>43700</v>
      </c>
      <c r="H225" s="25" t="s">
        <v>166</v>
      </c>
      <c r="I225" s="30">
        <v>17500</v>
      </c>
    </row>
    <row r="226" spans="5:9" s="24" customFormat="1" ht="21" customHeight="1" x14ac:dyDescent="0.2">
      <c r="E226" s="41"/>
      <c r="I226" s="37">
        <f>SUM(I3:I225)</f>
        <v>125378345.001</v>
      </c>
    </row>
    <row r="227" spans="5:9" s="24" customFormat="1" ht="15" x14ac:dyDescent="0.2">
      <c r="E227" s="41"/>
      <c r="I227" s="38">
        <v>125378345.001</v>
      </c>
    </row>
    <row r="228" spans="5:9" s="24" customFormat="1" x14ac:dyDescent="0.2">
      <c r="E228" s="41"/>
      <c r="I228" s="37">
        <f>I226-I227</f>
        <v>0</v>
      </c>
    </row>
    <row r="229" spans="5:9" s="24" customFormat="1" x14ac:dyDescent="0.2">
      <c r="E229" s="41"/>
      <c r="I229" s="37"/>
    </row>
    <row r="230" spans="5:9" s="24" customFormat="1" x14ac:dyDescent="0.2">
      <c r="E230" s="41"/>
    </row>
    <row r="233" spans="5:9" x14ac:dyDescent="0.2">
      <c r="H233" s="18">
        <f>I226-I233</f>
        <v>543870.00100000203</v>
      </c>
      <c r="I233" s="14">
        <v>124834475</v>
      </c>
    </row>
    <row r="234" spans="5:9" x14ac:dyDescent="0.2">
      <c r="H234" s="18">
        <f>H233-I228</f>
        <v>543870.00100000203</v>
      </c>
      <c r="I234" s="14">
        <v>543870</v>
      </c>
    </row>
  </sheetData>
  <autoFilter ref="B2:I228" xr:uid="{00000000-0009-0000-0000-000001000000}"/>
  <mergeCells count="31">
    <mergeCell ref="F46:F55"/>
    <mergeCell ref="E56:E63"/>
    <mergeCell ref="F18:F24"/>
    <mergeCell ref="E31:E55"/>
    <mergeCell ref="F3:F6"/>
    <mergeCell ref="E3:E6"/>
    <mergeCell ref="F7:F17"/>
    <mergeCell ref="E7:E17"/>
    <mergeCell ref="F25:F30"/>
    <mergeCell ref="E25:E30"/>
    <mergeCell ref="E82:E101"/>
    <mergeCell ref="E102:E123"/>
    <mergeCell ref="D3:D63"/>
    <mergeCell ref="B3:B13"/>
    <mergeCell ref="C3:C13"/>
    <mergeCell ref="E124:E152"/>
    <mergeCell ref="E18:E24"/>
    <mergeCell ref="E209:E225"/>
    <mergeCell ref="F124:F152"/>
    <mergeCell ref="F58:F59"/>
    <mergeCell ref="F60:F61"/>
    <mergeCell ref="F56:F57"/>
    <mergeCell ref="F102:F104"/>
    <mergeCell ref="F105:F107"/>
    <mergeCell ref="F64:F71"/>
    <mergeCell ref="F72:F81"/>
    <mergeCell ref="F82:F101"/>
    <mergeCell ref="E64:E71"/>
    <mergeCell ref="F108:F110"/>
    <mergeCell ref="F176:F197"/>
    <mergeCell ref="E72:E8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68"/>
  <sheetViews>
    <sheetView tabSelected="1" topLeftCell="D58" zoomScale="75" zoomScaleNormal="75" zoomScaleSheetLayoutView="77" workbookViewId="0">
      <selection activeCell="G68" sqref="G68"/>
    </sheetView>
  </sheetViews>
  <sheetFormatPr baseColWidth="10" defaultRowHeight="31.5" customHeight="1" x14ac:dyDescent="0.2"/>
  <cols>
    <col min="1" max="3" width="0" style="48" hidden="1" customWidth="1"/>
    <col min="4" max="4" width="12.7109375" style="48" customWidth="1"/>
    <col min="5" max="5" width="22.85546875" style="48" customWidth="1"/>
    <col min="6" max="6" width="26.140625" style="49" customWidth="1"/>
    <col min="7" max="7" width="69" style="48" customWidth="1"/>
    <col min="8" max="8" width="15" style="50" customWidth="1"/>
    <col min="9" max="9" width="41" style="48" customWidth="1"/>
    <col min="10" max="10" width="30" style="48" customWidth="1"/>
    <col min="11" max="11" width="22.28515625" style="48" customWidth="1"/>
    <col min="12" max="16384" width="11.42578125" style="48"/>
  </cols>
  <sheetData>
    <row r="2" spans="1:11" ht="31.5" customHeight="1" x14ac:dyDescent="0.25">
      <c r="D2" s="166" t="s">
        <v>201</v>
      </c>
      <c r="E2" s="166"/>
      <c r="F2" s="166"/>
      <c r="G2" s="166"/>
      <c r="H2" s="166"/>
      <c r="I2" s="166"/>
      <c r="J2" s="166"/>
      <c r="K2" s="166"/>
    </row>
    <row r="3" spans="1:11" ht="31.5" customHeight="1" thickBot="1" x14ac:dyDescent="0.3">
      <c r="D3" s="167" t="s">
        <v>202</v>
      </c>
      <c r="E3" s="167"/>
      <c r="F3" s="167"/>
      <c r="G3" s="167"/>
      <c r="H3" s="167"/>
      <c r="I3" s="167"/>
      <c r="J3" s="167"/>
      <c r="K3" s="167"/>
    </row>
    <row r="4" spans="1:11" ht="31.5" customHeight="1" x14ac:dyDescent="0.2">
      <c r="A4" s="56"/>
      <c r="B4" s="57" t="s">
        <v>0</v>
      </c>
      <c r="C4" s="58" t="s">
        <v>1</v>
      </c>
      <c r="D4" s="59" t="s">
        <v>175</v>
      </c>
      <c r="E4" s="67" t="s">
        <v>214</v>
      </c>
      <c r="F4" s="59" t="s">
        <v>203</v>
      </c>
      <c r="G4" s="59" t="s">
        <v>204</v>
      </c>
      <c r="H4" s="59" t="s">
        <v>127</v>
      </c>
      <c r="I4" s="59" t="s">
        <v>205</v>
      </c>
      <c r="J4" s="59" t="s">
        <v>213</v>
      </c>
      <c r="K4" s="59" t="s">
        <v>206</v>
      </c>
    </row>
    <row r="5" spans="1:11" s="24" customFormat="1" ht="30" customHeight="1" x14ac:dyDescent="0.2">
      <c r="B5" s="144"/>
      <c r="C5" s="151"/>
      <c r="D5" s="143">
        <v>1</v>
      </c>
      <c r="E5" s="163" t="s">
        <v>219</v>
      </c>
      <c r="F5" s="158" t="s">
        <v>209</v>
      </c>
      <c r="G5" s="155" t="s">
        <v>176</v>
      </c>
      <c r="H5" s="39">
        <v>25600</v>
      </c>
      <c r="I5" s="30" t="s">
        <v>14</v>
      </c>
      <c r="J5" s="55" t="s">
        <v>215</v>
      </c>
      <c r="K5" s="19">
        <v>1200</v>
      </c>
    </row>
    <row r="6" spans="1:11" s="24" customFormat="1" ht="30" customHeight="1" x14ac:dyDescent="0.2">
      <c r="B6" s="144"/>
      <c r="C6" s="151"/>
      <c r="D6" s="144"/>
      <c r="E6" s="164"/>
      <c r="F6" s="159"/>
      <c r="G6" s="156"/>
      <c r="H6" s="39">
        <v>25700</v>
      </c>
      <c r="I6" s="30" t="s">
        <v>15</v>
      </c>
      <c r="J6" s="55" t="s">
        <v>215</v>
      </c>
      <c r="K6" s="19">
        <v>700</v>
      </c>
    </row>
    <row r="7" spans="1:11" s="24" customFormat="1" ht="30" customHeight="1" x14ac:dyDescent="0.2">
      <c r="B7" s="144"/>
      <c r="C7" s="151"/>
      <c r="D7" s="144"/>
      <c r="E7" s="164"/>
      <c r="F7" s="159"/>
      <c r="G7" s="156"/>
      <c r="H7" s="39">
        <v>25220</v>
      </c>
      <c r="I7" s="30" t="s">
        <v>10</v>
      </c>
      <c r="J7" s="55" t="s">
        <v>215</v>
      </c>
      <c r="K7" s="19">
        <v>16500</v>
      </c>
    </row>
    <row r="8" spans="1:11" s="24" customFormat="1" ht="30" customHeight="1" x14ac:dyDescent="0.2">
      <c r="B8" s="144"/>
      <c r="C8" s="151"/>
      <c r="D8" s="144"/>
      <c r="E8" s="164"/>
      <c r="F8" s="160"/>
      <c r="G8" s="157"/>
      <c r="H8" s="39">
        <v>43120</v>
      </c>
      <c r="I8" s="25" t="s">
        <v>131</v>
      </c>
      <c r="J8" s="26" t="s">
        <v>216</v>
      </c>
      <c r="K8" s="19">
        <v>7500</v>
      </c>
    </row>
    <row r="9" spans="1:11" s="24" customFormat="1" ht="30" customHeight="1" x14ac:dyDescent="0.2">
      <c r="B9" s="144"/>
      <c r="C9" s="151"/>
      <c r="D9" s="144"/>
      <c r="E9" s="164"/>
      <c r="F9" s="158" t="s">
        <v>208</v>
      </c>
      <c r="G9" s="155" t="s">
        <v>177</v>
      </c>
      <c r="H9" s="26">
        <v>25220</v>
      </c>
      <c r="I9" s="25" t="s">
        <v>10</v>
      </c>
      <c r="J9" s="26" t="s">
        <v>215</v>
      </c>
      <c r="K9" s="19">
        <v>190368</v>
      </c>
    </row>
    <row r="10" spans="1:11" s="24" customFormat="1" ht="30" customHeight="1" x14ac:dyDescent="0.2">
      <c r="B10" s="144"/>
      <c r="C10" s="151"/>
      <c r="D10" s="144"/>
      <c r="E10" s="164"/>
      <c r="F10" s="159"/>
      <c r="G10" s="156"/>
      <c r="H10" s="26">
        <v>22110</v>
      </c>
      <c r="I10" s="25" t="s">
        <v>11</v>
      </c>
      <c r="J10" s="26" t="s">
        <v>215</v>
      </c>
      <c r="K10" s="19">
        <v>400</v>
      </c>
    </row>
    <row r="11" spans="1:11" s="24" customFormat="1" ht="30" customHeight="1" x14ac:dyDescent="0.2">
      <c r="B11" s="144"/>
      <c r="C11" s="151"/>
      <c r="D11" s="144"/>
      <c r="E11" s="164"/>
      <c r="F11" s="159"/>
      <c r="G11" s="156"/>
      <c r="H11" s="26">
        <v>22210</v>
      </c>
      <c r="I11" s="25" t="s">
        <v>12</v>
      </c>
      <c r="J11" s="26" t="s">
        <v>215</v>
      </c>
      <c r="K11" s="19">
        <v>2968</v>
      </c>
    </row>
    <row r="12" spans="1:11" s="24" customFormat="1" ht="30" customHeight="1" x14ac:dyDescent="0.2">
      <c r="B12" s="144"/>
      <c r="C12" s="151"/>
      <c r="D12" s="144"/>
      <c r="E12" s="164"/>
      <c r="F12" s="159"/>
      <c r="G12" s="156"/>
      <c r="H12" s="26">
        <v>23400</v>
      </c>
      <c r="I12" s="25" t="s">
        <v>128</v>
      </c>
      <c r="J12" s="26" t="s">
        <v>215</v>
      </c>
      <c r="K12" s="19">
        <v>20000</v>
      </c>
    </row>
    <row r="13" spans="1:11" s="24" customFormat="1" ht="30" customHeight="1" x14ac:dyDescent="0.2">
      <c r="B13" s="144"/>
      <c r="C13" s="151"/>
      <c r="D13" s="144"/>
      <c r="E13" s="164"/>
      <c r="F13" s="159"/>
      <c r="G13" s="156"/>
      <c r="H13" s="26">
        <v>24110</v>
      </c>
      <c r="I13" s="25" t="s">
        <v>129</v>
      </c>
      <c r="J13" s="26" t="s">
        <v>215</v>
      </c>
      <c r="K13" s="19">
        <v>8255</v>
      </c>
    </row>
    <row r="14" spans="1:11" s="24" customFormat="1" ht="30" customHeight="1" x14ac:dyDescent="0.2">
      <c r="B14" s="144"/>
      <c r="C14" s="151"/>
      <c r="D14" s="144"/>
      <c r="E14" s="164"/>
      <c r="F14" s="159"/>
      <c r="G14" s="156"/>
      <c r="H14" s="26">
        <v>25600</v>
      </c>
      <c r="I14" s="25" t="s">
        <v>14</v>
      </c>
      <c r="J14" s="26" t="s">
        <v>215</v>
      </c>
      <c r="K14" s="19">
        <v>1500</v>
      </c>
    </row>
    <row r="15" spans="1:11" s="24" customFormat="1" ht="30" customHeight="1" x14ac:dyDescent="0.2">
      <c r="B15" s="144"/>
      <c r="C15" s="151"/>
      <c r="D15" s="144"/>
      <c r="E15" s="164"/>
      <c r="F15" s="159"/>
      <c r="G15" s="156"/>
      <c r="H15" s="26">
        <v>26990</v>
      </c>
      <c r="I15" s="25" t="s">
        <v>51</v>
      </c>
      <c r="J15" s="26" t="s">
        <v>215</v>
      </c>
      <c r="K15" s="19">
        <v>52910</v>
      </c>
    </row>
    <row r="16" spans="1:11" s="24" customFormat="1" ht="30" customHeight="1" x14ac:dyDescent="0.2">
      <c r="B16" s="27"/>
      <c r="C16" s="28"/>
      <c r="D16" s="144"/>
      <c r="E16" s="164"/>
      <c r="F16" s="159"/>
      <c r="G16" s="156"/>
      <c r="H16" s="26">
        <v>43110</v>
      </c>
      <c r="I16" s="25" t="s">
        <v>130</v>
      </c>
      <c r="J16" s="26" t="s">
        <v>216</v>
      </c>
      <c r="K16" s="19">
        <v>5800</v>
      </c>
    </row>
    <row r="17" spans="2:11" s="24" customFormat="1" ht="30" customHeight="1" x14ac:dyDescent="0.2">
      <c r="B17" s="27"/>
      <c r="C17" s="28"/>
      <c r="D17" s="144"/>
      <c r="E17" s="164"/>
      <c r="F17" s="159"/>
      <c r="G17" s="156"/>
      <c r="H17" s="26">
        <v>43120</v>
      </c>
      <c r="I17" s="25" t="s">
        <v>131</v>
      </c>
      <c r="J17" s="26" t="s">
        <v>216</v>
      </c>
      <c r="K17" s="19">
        <v>8600</v>
      </c>
    </row>
    <row r="18" spans="2:11" s="24" customFormat="1" ht="30" customHeight="1" x14ac:dyDescent="0.2">
      <c r="B18" s="27"/>
      <c r="C18" s="28"/>
      <c r="D18" s="144"/>
      <c r="E18" s="164"/>
      <c r="F18" s="159"/>
      <c r="G18" s="156"/>
      <c r="H18" s="26">
        <v>43500</v>
      </c>
      <c r="I18" s="25" t="s">
        <v>132</v>
      </c>
      <c r="J18" s="26" t="s">
        <v>216</v>
      </c>
      <c r="K18" s="19">
        <v>2000</v>
      </c>
    </row>
    <row r="19" spans="2:11" s="24" customFormat="1" ht="30" customHeight="1" x14ac:dyDescent="0.2">
      <c r="B19" s="27"/>
      <c r="C19" s="28"/>
      <c r="D19" s="144"/>
      <c r="E19" s="164"/>
      <c r="F19" s="160"/>
      <c r="G19" s="157"/>
      <c r="H19" s="39">
        <v>43600</v>
      </c>
      <c r="I19" s="25" t="s">
        <v>133</v>
      </c>
      <c r="J19" s="26" t="s">
        <v>216</v>
      </c>
      <c r="K19" s="19">
        <v>10450</v>
      </c>
    </row>
    <row r="20" spans="2:11" s="24" customFormat="1" ht="30" customHeight="1" x14ac:dyDescent="0.2">
      <c r="B20" s="23"/>
      <c r="C20" s="29"/>
      <c r="D20" s="144"/>
      <c r="E20" s="164"/>
      <c r="F20" s="158" t="s">
        <v>179</v>
      </c>
      <c r="G20" s="155" t="s">
        <v>178</v>
      </c>
      <c r="H20" s="26">
        <v>25220</v>
      </c>
      <c r="I20" s="25" t="s">
        <v>10</v>
      </c>
      <c r="J20" s="26" t="s">
        <v>215</v>
      </c>
      <c r="K20" s="19">
        <v>105444</v>
      </c>
    </row>
    <row r="21" spans="2:11" s="24" customFormat="1" ht="30" customHeight="1" x14ac:dyDescent="0.2">
      <c r="B21" s="23"/>
      <c r="C21" s="29"/>
      <c r="D21" s="144"/>
      <c r="E21" s="164"/>
      <c r="F21" s="159"/>
      <c r="G21" s="156"/>
      <c r="H21" s="26">
        <v>22110</v>
      </c>
      <c r="I21" s="25" t="s">
        <v>11</v>
      </c>
      <c r="J21" s="26" t="s">
        <v>215</v>
      </c>
      <c r="K21" s="19">
        <v>880</v>
      </c>
    </row>
    <row r="22" spans="2:11" s="24" customFormat="1" ht="30" customHeight="1" x14ac:dyDescent="0.2">
      <c r="B22" s="23"/>
      <c r="C22" s="29"/>
      <c r="D22" s="144"/>
      <c r="E22" s="164"/>
      <c r="F22" s="159"/>
      <c r="G22" s="156"/>
      <c r="H22" s="26">
        <v>22210</v>
      </c>
      <c r="I22" s="25" t="s">
        <v>12</v>
      </c>
      <c r="J22" s="26" t="s">
        <v>215</v>
      </c>
      <c r="K22" s="19">
        <v>3710</v>
      </c>
    </row>
    <row r="23" spans="2:11" s="24" customFormat="1" ht="30" customHeight="1" x14ac:dyDescent="0.2">
      <c r="B23" s="23"/>
      <c r="C23" s="29"/>
      <c r="D23" s="144"/>
      <c r="E23" s="164"/>
      <c r="F23" s="159"/>
      <c r="G23" s="156"/>
      <c r="H23" s="26">
        <v>25300</v>
      </c>
      <c r="I23" s="25" t="s">
        <v>13</v>
      </c>
      <c r="J23" s="26" t="s">
        <v>215</v>
      </c>
      <c r="K23" s="19">
        <v>300</v>
      </c>
    </row>
    <row r="24" spans="2:11" s="24" customFormat="1" ht="30" customHeight="1" x14ac:dyDescent="0.2">
      <c r="B24" s="23"/>
      <c r="C24" s="29"/>
      <c r="D24" s="144"/>
      <c r="E24" s="164"/>
      <c r="F24" s="159"/>
      <c r="G24" s="156"/>
      <c r="H24" s="26">
        <v>25600</v>
      </c>
      <c r="I24" s="25" t="s">
        <v>14</v>
      </c>
      <c r="J24" s="26" t="s">
        <v>215</v>
      </c>
      <c r="K24" s="19">
        <v>920</v>
      </c>
    </row>
    <row r="25" spans="2:11" s="24" customFormat="1" ht="30" customHeight="1" x14ac:dyDescent="0.2">
      <c r="B25" s="23"/>
      <c r="C25" s="29"/>
      <c r="D25" s="144"/>
      <c r="E25" s="164"/>
      <c r="F25" s="159"/>
      <c r="G25" s="156"/>
      <c r="H25" s="26">
        <v>25700</v>
      </c>
      <c r="I25" s="25" t="s">
        <v>15</v>
      </c>
      <c r="J25" s="26" t="s">
        <v>215</v>
      </c>
      <c r="K25" s="19">
        <v>300</v>
      </c>
    </row>
    <row r="26" spans="2:11" s="24" customFormat="1" ht="30" customHeight="1" x14ac:dyDescent="0.2">
      <c r="B26" s="23"/>
      <c r="C26" s="29"/>
      <c r="D26" s="144"/>
      <c r="E26" s="164"/>
      <c r="F26" s="160"/>
      <c r="G26" s="157"/>
      <c r="H26" s="39">
        <v>43120</v>
      </c>
      <c r="I26" s="51" t="s">
        <v>16</v>
      </c>
      <c r="J26" s="26" t="s">
        <v>216</v>
      </c>
      <c r="K26" s="19">
        <v>7500</v>
      </c>
    </row>
    <row r="27" spans="2:11" s="24" customFormat="1" ht="30" customHeight="1" x14ac:dyDescent="0.2">
      <c r="B27" s="23"/>
      <c r="C27" s="29"/>
      <c r="D27" s="144"/>
      <c r="E27" s="164"/>
      <c r="F27" s="158" t="s">
        <v>180</v>
      </c>
      <c r="G27" s="155" t="s">
        <v>181</v>
      </c>
      <c r="H27" s="26">
        <v>25220</v>
      </c>
      <c r="I27" s="25" t="s">
        <v>10</v>
      </c>
      <c r="J27" s="26" t="s">
        <v>215</v>
      </c>
      <c r="K27" s="19">
        <v>74088</v>
      </c>
    </row>
    <row r="28" spans="2:11" s="24" customFormat="1" ht="30" customHeight="1" x14ac:dyDescent="0.2">
      <c r="B28" s="23"/>
      <c r="C28" s="29"/>
      <c r="D28" s="144"/>
      <c r="E28" s="164"/>
      <c r="F28" s="159"/>
      <c r="G28" s="156"/>
      <c r="H28" s="26">
        <v>22110</v>
      </c>
      <c r="I28" s="25" t="s">
        <v>11</v>
      </c>
      <c r="J28" s="26" t="s">
        <v>215</v>
      </c>
      <c r="K28" s="19">
        <v>490</v>
      </c>
    </row>
    <row r="29" spans="2:11" s="24" customFormat="1" ht="30" customHeight="1" x14ac:dyDescent="0.2">
      <c r="B29" s="23"/>
      <c r="C29" s="29"/>
      <c r="D29" s="144"/>
      <c r="E29" s="164"/>
      <c r="F29" s="159"/>
      <c r="G29" s="156"/>
      <c r="H29" s="26">
        <v>22210</v>
      </c>
      <c r="I29" s="25" t="s">
        <v>12</v>
      </c>
      <c r="J29" s="26" t="s">
        <v>215</v>
      </c>
      <c r="K29" s="19">
        <v>1855</v>
      </c>
    </row>
    <row r="30" spans="2:11" s="24" customFormat="1" ht="30" customHeight="1" x14ac:dyDescent="0.2">
      <c r="B30" s="23"/>
      <c r="C30" s="29"/>
      <c r="D30" s="144"/>
      <c r="E30" s="164"/>
      <c r="F30" s="159"/>
      <c r="G30" s="156"/>
      <c r="H30" s="26">
        <v>25600</v>
      </c>
      <c r="I30" s="25" t="s">
        <v>14</v>
      </c>
      <c r="J30" s="26" t="s">
        <v>215</v>
      </c>
      <c r="K30" s="19">
        <v>750</v>
      </c>
    </row>
    <row r="31" spans="2:11" s="24" customFormat="1" ht="30" customHeight="1" x14ac:dyDescent="0.2">
      <c r="B31" s="23"/>
      <c r="C31" s="29"/>
      <c r="D31" s="144"/>
      <c r="E31" s="164"/>
      <c r="F31" s="159"/>
      <c r="G31" s="156"/>
      <c r="H31" s="26">
        <v>26200</v>
      </c>
      <c r="I31" s="25" t="s">
        <v>134</v>
      </c>
      <c r="J31" s="26" t="s">
        <v>215</v>
      </c>
      <c r="K31" s="19">
        <v>600</v>
      </c>
    </row>
    <row r="32" spans="2:11" s="24" customFormat="1" ht="30" customHeight="1" x14ac:dyDescent="0.2">
      <c r="B32" s="23"/>
      <c r="C32" s="29"/>
      <c r="D32" s="144"/>
      <c r="E32" s="164"/>
      <c r="F32" s="160"/>
      <c r="G32" s="157"/>
      <c r="H32" s="26">
        <v>31120</v>
      </c>
      <c r="I32" s="25" t="s">
        <v>31</v>
      </c>
      <c r="J32" s="26" t="s">
        <v>215</v>
      </c>
      <c r="K32" s="19">
        <v>2000</v>
      </c>
    </row>
    <row r="33" spans="4:11" s="24" customFormat="1" ht="30" customHeight="1" x14ac:dyDescent="0.2">
      <c r="D33" s="144"/>
      <c r="E33" s="164"/>
      <c r="F33" s="158" t="s">
        <v>190</v>
      </c>
      <c r="G33" s="52" t="s">
        <v>182</v>
      </c>
      <c r="H33" s="26">
        <v>25220</v>
      </c>
      <c r="I33" s="25" t="s">
        <v>10</v>
      </c>
      <c r="J33" s="26" t="s">
        <v>215</v>
      </c>
      <c r="K33" s="19">
        <v>87108</v>
      </c>
    </row>
    <row r="34" spans="4:11" s="24" customFormat="1" ht="30" customHeight="1" x14ac:dyDescent="0.2">
      <c r="D34" s="144"/>
      <c r="E34" s="164"/>
      <c r="F34" s="159"/>
      <c r="G34" s="161" t="s">
        <v>183</v>
      </c>
      <c r="H34" s="26">
        <v>22110</v>
      </c>
      <c r="I34" s="25" t="s">
        <v>11</v>
      </c>
      <c r="J34" s="26" t="s">
        <v>215</v>
      </c>
      <c r="K34" s="19">
        <v>1680</v>
      </c>
    </row>
    <row r="35" spans="4:11" s="24" customFormat="1" ht="30" customHeight="1" x14ac:dyDescent="0.2">
      <c r="D35" s="144"/>
      <c r="E35" s="164"/>
      <c r="F35" s="159"/>
      <c r="G35" s="162"/>
      <c r="H35" s="26">
        <v>22210</v>
      </c>
      <c r="I35" s="25" t="s">
        <v>12</v>
      </c>
      <c r="J35" s="26" t="s">
        <v>215</v>
      </c>
      <c r="K35" s="19">
        <v>8900</v>
      </c>
    </row>
    <row r="36" spans="4:11" s="24" customFormat="1" ht="30" customHeight="1" x14ac:dyDescent="0.2">
      <c r="D36" s="144"/>
      <c r="E36" s="164"/>
      <c r="F36" s="159"/>
      <c r="G36" s="161" t="s">
        <v>184</v>
      </c>
      <c r="H36" s="26">
        <v>22600</v>
      </c>
      <c r="I36" s="25" t="s">
        <v>28</v>
      </c>
      <c r="J36" s="26" t="s">
        <v>215</v>
      </c>
      <c r="K36" s="19">
        <v>1200</v>
      </c>
    </row>
    <row r="37" spans="4:11" s="24" customFormat="1" ht="30" customHeight="1" x14ac:dyDescent="0.2">
      <c r="D37" s="144"/>
      <c r="E37" s="164"/>
      <c r="F37" s="159"/>
      <c r="G37" s="162"/>
      <c r="H37" s="26">
        <v>25600</v>
      </c>
      <c r="I37" s="25" t="s">
        <v>14</v>
      </c>
      <c r="J37" s="26" t="s">
        <v>215</v>
      </c>
      <c r="K37" s="19">
        <v>800</v>
      </c>
    </row>
    <row r="38" spans="4:11" s="24" customFormat="1" ht="30" customHeight="1" x14ac:dyDescent="0.2">
      <c r="D38" s="144"/>
      <c r="E38" s="164"/>
      <c r="F38" s="159"/>
      <c r="G38" s="161" t="s">
        <v>185</v>
      </c>
      <c r="H38" s="26">
        <v>25700</v>
      </c>
      <c r="I38" s="25" t="s">
        <v>15</v>
      </c>
      <c r="J38" s="26" t="s">
        <v>215</v>
      </c>
      <c r="K38" s="19">
        <v>4000</v>
      </c>
    </row>
    <row r="39" spans="4:11" s="24" customFormat="1" ht="30" customHeight="1" x14ac:dyDescent="0.2">
      <c r="D39" s="144"/>
      <c r="E39" s="164"/>
      <c r="F39" s="159"/>
      <c r="G39" s="162"/>
      <c r="H39" s="26">
        <v>26300</v>
      </c>
      <c r="I39" s="25" t="s">
        <v>50</v>
      </c>
      <c r="J39" s="26" t="s">
        <v>215</v>
      </c>
      <c r="K39" s="19">
        <v>11480</v>
      </c>
    </row>
    <row r="40" spans="4:11" s="24" customFormat="1" ht="30" customHeight="1" x14ac:dyDescent="0.2">
      <c r="D40" s="144"/>
      <c r="E40" s="164"/>
      <c r="F40" s="159"/>
      <c r="G40" s="161" t="s">
        <v>186</v>
      </c>
      <c r="H40" s="26">
        <v>34200</v>
      </c>
      <c r="I40" s="25" t="s">
        <v>55</v>
      </c>
      <c r="J40" s="26" t="s">
        <v>215</v>
      </c>
      <c r="K40" s="19">
        <v>3875</v>
      </c>
    </row>
    <row r="41" spans="4:11" s="24" customFormat="1" ht="30" customHeight="1" x14ac:dyDescent="0.2">
      <c r="D41" s="144"/>
      <c r="E41" s="164"/>
      <c r="F41" s="159"/>
      <c r="G41" s="162"/>
      <c r="H41" s="26">
        <v>34500</v>
      </c>
      <c r="I41" s="25" t="s">
        <v>57</v>
      </c>
      <c r="J41" s="26" t="s">
        <v>215</v>
      </c>
      <c r="K41" s="19">
        <v>1275</v>
      </c>
    </row>
    <row r="42" spans="4:11" s="24" customFormat="1" ht="30" customHeight="1" x14ac:dyDescent="0.2">
      <c r="D42" s="144"/>
      <c r="E42" s="164"/>
      <c r="F42" s="159"/>
      <c r="G42" s="161" t="s">
        <v>186</v>
      </c>
      <c r="H42" s="26">
        <v>34800</v>
      </c>
      <c r="I42" s="25" t="s">
        <v>59</v>
      </c>
      <c r="J42" s="26" t="s">
        <v>215</v>
      </c>
      <c r="K42" s="19">
        <v>3635</v>
      </c>
    </row>
    <row r="43" spans="4:11" s="24" customFormat="1" ht="30" customHeight="1" x14ac:dyDescent="0.2">
      <c r="D43" s="144"/>
      <c r="E43" s="164"/>
      <c r="F43" s="159"/>
      <c r="G43" s="162"/>
      <c r="H43" s="26">
        <v>39400</v>
      </c>
      <c r="I43" s="25" t="s">
        <v>135</v>
      </c>
      <c r="J43" s="26" t="s">
        <v>215</v>
      </c>
      <c r="K43" s="19">
        <v>204</v>
      </c>
    </row>
    <row r="44" spans="4:11" s="24" customFormat="1" ht="30" customHeight="1" x14ac:dyDescent="0.2">
      <c r="D44" s="144"/>
      <c r="E44" s="164"/>
      <c r="F44" s="159"/>
      <c r="G44" s="161" t="s">
        <v>187</v>
      </c>
      <c r="H44" s="39">
        <v>39700</v>
      </c>
      <c r="I44" s="25" t="s">
        <v>136</v>
      </c>
      <c r="J44" s="26" t="s">
        <v>215</v>
      </c>
      <c r="K44" s="19">
        <v>10230</v>
      </c>
    </row>
    <row r="45" spans="4:11" s="24" customFormat="1" ht="30" customHeight="1" x14ac:dyDescent="0.2">
      <c r="D45" s="144"/>
      <c r="E45" s="164"/>
      <c r="F45" s="159"/>
      <c r="G45" s="162"/>
      <c r="H45" s="26">
        <v>39800</v>
      </c>
      <c r="I45" s="25" t="s">
        <v>61</v>
      </c>
      <c r="J45" s="26" t="s">
        <v>215</v>
      </c>
      <c r="K45" s="19">
        <v>147894</v>
      </c>
    </row>
    <row r="46" spans="4:11" s="24" customFormat="1" ht="30" customHeight="1" x14ac:dyDescent="0.2">
      <c r="D46" s="144"/>
      <c r="E46" s="164"/>
      <c r="F46" s="159"/>
      <c r="G46" s="161" t="s">
        <v>188</v>
      </c>
      <c r="H46" s="26">
        <v>43120</v>
      </c>
      <c r="I46" s="25" t="s">
        <v>131</v>
      </c>
      <c r="J46" s="26" t="s">
        <v>216</v>
      </c>
      <c r="K46" s="19">
        <v>14800</v>
      </c>
    </row>
    <row r="47" spans="4:11" s="24" customFormat="1" ht="30" customHeight="1" x14ac:dyDescent="0.2">
      <c r="D47" s="144"/>
      <c r="E47" s="164"/>
      <c r="F47" s="160"/>
      <c r="G47" s="162"/>
      <c r="H47" s="26">
        <v>43500</v>
      </c>
      <c r="I47" s="25" t="s">
        <v>132</v>
      </c>
      <c r="J47" s="26" t="s">
        <v>216</v>
      </c>
      <c r="K47" s="19">
        <v>18480</v>
      </c>
    </row>
    <row r="48" spans="4:11" s="24" customFormat="1" ht="30" customHeight="1" x14ac:dyDescent="0.2">
      <c r="D48" s="144"/>
      <c r="E48" s="164"/>
      <c r="F48" s="158" t="s">
        <v>207</v>
      </c>
      <c r="G48" s="155" t="s">
        <v>189</v>
      </c>
      <c r="H48" s="26">
        <v>25220</v>
      </c>
      <c r="I48" s="25" t="s">
        <v>10</v>
      </c>
      <c r="J48" s="26" t="s">
        <v>215</v>
      </c>
      <c r="K48" s="19">
        <v>44592</v>
      </c>
    </row>
    <row r="49" spans="4:11" s="24" customFormat="1" ht="30" customHeight="1" x14ac:dyDescent="0.2">
      <c r="D49" s="144"/>
      <c r="E49" s="164"/>
      <c r="F49" s="159"/>
      <c r="G49" s="156"/>
      <c r="H49" s="26">
        <v>22110</v>
      </c>
      <c r="I49" s="25" t="s">
        <v>11</v>
      </c>
      <c r="J49" s="26" t="s">
        <v>215</v>
      </c>
      <c r="K49" s="19">
        <v>1680</v>
      </c>
    </row>
    <row r="50" spans="4:11" s="24" customFormat="1" ht="30" customHeight="1" x14ac:dyDescent="0.2">
      <c r="D50" s="144"/>
      <c r="E50" s="164"/>
      <c r="F50" s="159"/>
      <c r="G50" s="156"/>
      <c r="H50" s="26">
        <v>22210</v>
      </c>
      <c r="I50" s="25" t="s">
        <v>12</v>
      </c>
      <c r="J50" s="26" t="s">
        <v>215</v>
      </c>
      <c r="K50" s="19">
        <v>4452</v>
      </c>
    </row>
    <row r="51" spans="4:11" s="24" customFormat="1" ht="30" customHeight="1" x14ac:dyDescent="0.2">
      <c r="D51" s="144"/>
      <c r="E51" s="164"/>
      <c r="F51" s="159"/>
      <c r="G51" s="156"/>
      <c r="H51" s="26">
        <v>24110</v>
      </c>
      <c r="I51" s="25" t="s">
        <v>129</v>
      </c>
      <c r="J51" s="26" t="s">
        <v>215</v>
      </c>
      <c r="K51" s="19">
        <v>500</v>
      </c>
    </row>
    <row r="52" spans="4:11" s="24" customFormat="1" ht="30" customHeight="1" x14ac:dyDescent="0.2">
      <c r="D52" s="144"/>
      <c r="E52" s="164"/>
      <c r="F52" s="159"/>
      <c r="G52" s="156"/>
      <c r="H52" s="26">
        <v>25500</v>
      </c>
      <c r="I52" s="25" t="s">
        <v>32</v>
      </c>
      <c r="J52" s="26" t="s">
        <v>215</v>
      </c>
      <c r="K52" s="19">
        <v>1750</v>
      </c>
    </row>
    <row r="53" spans="4:11" s="24" customFormat="1" ht="30" customHeight="1" x14ac:dyDescent="0.2">
      <c r="D53" s="144"/>
      <c r="E53" s="164"/>
      <c r="F53" s="159"/>
      <c r="G53" s="156"/>
      <c r="H53" s="26">
        <v>25600</v>
      </c>
      <c r="I53" s="25" t="s">
        <v>14</v>
      </c>
      <c r="J53" s="26" t="s">
        <v>215</v>
      </c>
      <c r="K53" s="19">
        <v>9200</v>
      </c>
    </row>
    <row r="54" spans="4:11" s="24" customFormat="1" ht="30" customHeight="1" x14ac:dyDescent="0.2">
      <c r="D54" s="144"/>
      <c r="E54" s="164"/>
      <c r="F54" s="159"/>
      <c r="G54" s="156"/>
      <c r="H54" s="26">
        <v>25900</v>
      </c>
      <c r="I54" s="25" t="s">
        <v>29</v>
      </c>
      <c r="J54" s="26" t="s">
        <v>215</v>
      </c>
      <c r="K54" s="19">
        <v>3000</v>
      </c>
    </row>
    <row r="55" spans="4:11" s="24" customFormat="1" ht="30" customHeight="1" x14ac:dyDescent="0.2">
      <c r="D55" s="144"/>
      <c r="E55" s="164"/>
      <c r="F55" s="159"/>
      <c r="G55" s="156"/>
      <c r="H55" s="26">
        <v>34400</v>
      </c>
      <c r="I55" s="25" t="s">
        <v>30</v>
      </c>
      <c r="J55" s="26" t="s">
        <v>215</v>
      </c>
      <c r="K55" s="19">
        <v>7200</v>
      </c>
    </row>
    <row r="56" spans="4:11" s="24" customFormat="1" ht="30" customHeight="1" x14ac:dyDescent="0.2">
      <c r="D56" s="144"/>
      <c r="E56" s="164"/>
      <c r="F56" s="159"/>
      <c r="G56" s="156"/>
      <c r="H56" s="68">
        <v>43110</v>
      </c>
      <c r="I56" s="69" t="s">
        <v>130</v>
      </c>
      <c r="J56" s="26" t="s">
        <v>216</v>
      </c>
      <c r="K56" s="70">
        <v>640</v>
      </c>
    </row>
    <row r="57" spans="4:11" s="24" customFormat="1" ht="30" customHeight="1" x14ac:dyDescent="0.2">
      <c r="D57" s="144"/>
      <c r="E57" s="164"/>
      <c r="F57" s="160"/>
      <c r="G57" s="157"/>
      <c r="H57" s="68">
        <v>43120</v>
      </c>
      <c r="I57" s="69" t="s">
        <v>131</v>
      </c>
      <c r="J57" s="26" t="s">
        <v>216</v>
      </c>
      <c r="K57" s="71">
        <v>7300</v>
      </c>
    </row>
    <row r="58" spans="4:11" s="24" customFormat="1" ht="30" customHeight="1" x14ac:dyDescent="0.2">
      <c r="D58" s="144"/>
      <c r="E58" s="164"/>
      <c r="F58" s="158" t="s">
        <v>191</v>
      </c>
      <c r="G58" s="155" t="s">
        <v>192</v>
      </c>
      <c r="H58" s="26">
        <v>25220</v>
      </c>
      <c r="I58" s="25" t="s">
        <v>10</v>
      </c>
      <c r="J58" s="26" t="s">
        <v>215</v>
      </c>
      <c r="K58" s="19">
        <v>22296</v>
      </c>
    </row>
    <row r="59" spans="4:11" s="24" customFormat="1" ht="30" customHeight="1" x14ac:dyDescent="0.2">
      <c r="D59" s="144"/>
      <c r="E59" s="164"/>
      <c r="F59" s="159"/>
      <c r="G59" s="157"/>
      <c r="H59" s="26">
        <v>22110</v>
      </c>
      <c r="I59" s="25" t="s">
        <v>11</v>
      </c>
      <c r="J59" s="26" t="s">
        <v>215</v>
      </c>
      <c r="K59" s="19">
        <v>9495</v>
      </c>
    </row>
    <row r="60" spans="4:11" s="24" customFormat="1" ht="30" customHeight="1" x14ac:dyDescent="0.2">
      <c r="D60" s="144"/>
      <c r="E60" s="164"/>
      <c r="F60" s="159"/>
      <c r="G60" s="155" t="s">
        <v>193</v>
      </c>
      <c r="H60" s="26">
        <v>22210</v>
      </c>
      <c r="I60" s="25" t="s">
        <v>12</v>
      </c>
      <c r="J60" s="26" t="s">
        <v>215</v>
      </c>
      <c r="K60" s="19">
        <v>3339</v>
      </c>
    </row>
    <row r="61" spans="4:11" s="24" customFormat="1" ht="30" customHeight="1" x14ac:dyDescent="0.2">
      <c r="D61" s="144"/>
      <c r="E61" s="164"/>
      <c r="F61" s="159"/>
      <c r="G61" s="157"/>
      <c r="H61" s="26">
        <v>25600</v>
      </c>
      <c r="I61" s="25" t="s">
        <v>14</v>
      </c>
      <c r="J61" s="26" t="s">
        <v>215</v>
      </c>
      <c r="K61" s="19">
        <v>2400</v>
      </c>
    </row>
    <row r="62" spans="4:11" s="24" customFormat="1" ht="30" customHeight="1" x14ac:dyDescent="0.2">
      <c r="D62" s="144"/>
      <c r="E62" s="164"/>
      <c r="F62" s="159"/>
      <c r="G62" s="155" t="s">
        <v>194</v>
      </c>
      <c r="H62" s="26">
        <v>25700</v>
      </c>
      <c r="I62" s="25" t="s">
        <v>15</v>
      </c>
      <c r="J62" s="26" t="s">
        <v>215</v>
      </c>
      <c r="K62" s="19">
        <v>1800</v>
      </c>
    </row>
    <row r="63" spans="4:11" s="24" customFormat="1" ht="30" customHeight="1" x14ac:dyDescent="0.2">
      <c r="D63" s="144"/>
      <c r="E63" s="164"/>
      <c r="F63" s="159"/>
      <c r="G63" s="156"/>
      <c r="H63" s="26">
        <v>26200</v>
      </c>
      <c r="I63" s="25" t="s">
        <v>134</v>
      </c>
      <c r="J63" s="26" t="s">
        <v>215</v>
      </c>
      <c r="K63" s="19">
        <v>1200</v>
      </c>
    </row>
    <row r="64" spans="4:11" s="24" customFormat="1" ht="30" customHeight="1" x14ac:dyDescent="0.2">
      <c r="D64" s="144"/>
      <c r="E64" s="164"/>
      <c r="F64" s="159"/>
      <c r="G64" s="156"/>
      <c r="H64" s="68">
        <v>43120</v>
      </c>
      <c r="I64" s="69" t="s">
        <v>131</v>
      </c>
      <c r="J64" s="26" t="s">
        <v>216</v>
      </c>
      <c r="K64" s="70">
        <v>7500</v>
      </c>
    </row>
    <row r="65" spans="4:11" s="24" customFormat="1" ht="30" customHeight="1" x14ac:dyDescent="0.2">
      <c r="D65" s="145"/>
      <c r="E65" s="165"/>
      <c r="F65" s="160"/>
      <c r="G65" s="157"/>
      <c r="H65" s="26">
        <v>32500</v>
      </c>
      <c r="I65" s="25" t="s">
        <v>137</v>
      </c>
      <c r="J65" s="26" t="s">
        <v>215</v>
      </c>
      <c r="K65" s="19">
        <v>1000</v>
      </c>
    </row>
    <row r="66" spans="4:11" ht="30" customHeight="1" x14ac:dyDescent="0.2">
      <c r="D66" s="152" t="s">
        <v>195</v>
      </c>
      <c r="E66" s="153"/>
      <c r="F66" s="153"/>
      <c r="G66" s="153"/>
      <c r="H66" s="153"/>
      <c r="I66" s="154"/>
      <c r="J66" s="60"/>
      <c r="K66" s="61">
        <f>SUM(K5:K65)</f>
        <v>972893</v>
      </c>
    </row>
    <row r="68" spans="4:11" ht="31.5" customHeight="1" x14ac:dyDescent="0.2">
      <c r="K68" s="63"/>
    </row>
  </sheetData>
  <autoFilter ref="A4:K66" xr:uid="{00000000-0009-0000-0000-000002000000}"/>
  <mergeCells count="29">
    <mergeCell ref="D2:K2"/>
    <mergeCell ref="D3:K3"/>
    <mergeCell ref="F33:F47"/>
    <mergeCell ref="F48:F57"/>
    <mergeCell ref="B5:B15"/>
    <mergeCell ref="C5:C15"/>
    <mergeCell ref="D5:D65"/>
    <mergeCell ref="F5:F8"/>
    <mergeCell ref="G5:G8"/>
    <mergeCell ref="F9:F19"/>
    <mergeCell ref="G9:G19"/>
    <mergeCell ref="F20:F26"/>
    <mergeCell ref="G20:G26"/>
    <mergeCell ref="F27:F32"/>
    <mergeCell ref="D66:I66"/>
    <mergeCell ref="G27:G32"/>
    <mergeCell ref="G48:G57"/>
    <mergeCell ref="F58:F65"/>
    <mergeCell ref="G58:G59"/>
    <mergeCell ref="G60:G61"/>
    <mergeCell ref="G36:G37"/>
    <mergeCell ref="G38:G39"/>
    <mergeCell ref="G34:G35"/>
    <mergeCell ref="G46:G47"/>
    <mergeCell ref="G44:G45"/>
    <mergeCell ref="G42:G43"/>
    <mergeCell ref="G40:G41"/>
    <mergeCell ref="G62:G65"/>
    <mergeCell ref="E5:E65"/>
  </mergeCells>
  <pageMargins left="0.7" right="0.7" top="0.75" bottom="0.75" header="0.3" footer="0.3"/>
  <pageSetup scale="48" orientation="portrait" horizontalDpi="0" verticalDpi="0" r:id="rId1"/>
  <rowBreaks count="1" manualBreakCount="1">
    <brk id="4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D1" zoomScale="75" zoomScaleNormal="75" workbookViewId="0">
      <selection activeCell="I28" sqref="I28"/>
    </sheetView>
  </sheetViews>
  <sheetFormatPr baseColWidth="10" defaultRowHeight="14.25" x14ac:dyDescent="0.2"/>
  <cols>
    <col min="1" max="1" width="0" style="14" hidden="1" customWidth="1"/>
    <col min="2" max="2" width="12.5703125" style="14" hidden="1" customWidth="1"/>
    <col min="3" max="3" width="7.5703125" style="14" hidden="1" customWidth="1"/>
    <col min="4" max="4" width="11.42578125" style="14"/>
    <col min="5" max="5" width="24.7109375" style="14" customWidth="1"/>
    <col min="6" max="6" width="22.5703125" style="40" customWidth="1"/>
    <col min="7" max="7" width="33.7109375" style="14" customWidth="1"/>
    <col min="8" max="8" width="13.7109375" style="14" customWidth="1"/>
    <col min="9" max="10" width="40.85546875" style="14" customWidth="1"/>
    <col min="11" max="11" width="27.85546875" style="14" customWidth="1"/>
    <col min="12" max="16384" width="11.42578125" style="14"/>
  </cols>
  <sheetData>
    <row r="1" spans="2:11" ht="21" customHeight="1" x14ac:dyDescent="0.2">
      <c r="D1" s="168"/>
      <c r="E1" s="168"/>
      <c r="F1" s="168"/>
      <c r="G1" s="168"/>
      <c r="H1" s="168"/>
      <c r="I1" s="168"/>
      <c r="J1" s="168"/>
      <c r="K1" s="168"/>
    </row>
    <row r="2" spans="2:11" ht="36.75" customHeight="1" x14ac:dyDescent="0.25">
      <c r="D2" s="166" t="s">
        <v>210</v>
      </c>
      <c r="E2" s="166"/>
      <c r="F2" s="166"/>
      <c r="G2" s="166"/>
      <c r="H2" s="166"/>
      <c r="I2" s="166"/>
      <c r="J2" s="166"/>
      <c r="K2" s="166"/>
    </row>
    <row r="3" spans="2:11" ht="21" customHeight="1" thickBot="1" x14ac:dyDescent="0.3">
      <c r="D3" s="167" t="s">
        <v>202</v>
      </c>
      <c r="E3" s="167"/>
      <c r="F3" s="167"/>
      <c r="G3" s="167"/>
      <c r="H3" s="167"/>
      <c r="I3" s="167"/>
      <c r="J3" s="167"/>
      <c r="K3" s="167"/>
    </row>
    <row r="4" spans="2:11" ht="32.25" customHeight="1" x14ac:dyDescent="0.2">
      <c r="B4" s="15" t="s">
        <v>0</v>
      </c>
      <c r="C4" s="16" t="s">
        <v>1</v>
      </c>
      <c r="D4" s="59" t="s">
        <v>175</v>
      </c>
      <c r="E4" s="67" t="s">
        <v>214</v>
      </c>
      <c r="F4" s="59" t="s">
        <v>203</v>
      </c>
      <c r="G4" s="59" t="s">
        <v>204</v>
      </c>
      <c r="H4" s="59" t="s">
        <v>127</v>
      </c>
      <c r="I4" s="59" t="s">
        <v>205</v>
      </c>
      <c r="J4" s="59" t="s">
        <v>213</v>
      </c>
      <c r="K4" s="59" t="s">
        <v>206</v>
      </c>
    </row>
    <row r="5" spans="2:11" s="24" customFormat="1" ht="32.25" customHeight="1" x14ac:dyDescent="0.2">
      <c r="D5" s="147">
        <v>2</v>
      </c>
      <c r="E5" s="171" t="s">
        <v>275</v>
      </c>
      <c r="F5" s="169" t="s">
        <v>39</v>
      </c>
      <c r="G5" s="170" t="s">
        <v>279</v>
      </c>
      <c r="H5" s="26">
        <v>25210</v>
      </c>
      <c r="I5" s="25" t="s">
        <v>138</v>
      </c>
      <c r="J5" s="26" t="s">
        <v>215</v>
      </c>
      <c r="K5" s="19">
        <v>200000</v>
      </c>
    </row>
    <row r="6" spans="2:11" s="24" customFormat="1" ht="32.25" customHeight="1" x14ac:dyDescent="0.2">
      <c r="D6" s="148"/>
      <c r="E6" s="172"/>
      <c r="F6" s="169"/>
      <c r="G6" s="170"/>
      <c r="H6" s="26">
        <v>25220</v>
      </c>
      <c r="I6" s="25" t="s">
        <v>10</v>
      </c>
      <c r="J6" s="26" t="s">
        <v>215</v>
      </c>
      <c r="K6" s="19">
        <v>1269228</v>
      </c>
    </row>
    <row r="7" spans="2:11" s="24" customFormat="1" ht="32.25" customHeight="1" x14ac:dyDescent="0.2">
      <c r="D7" s="148"/>
      <c r="E7" s="172"/>
      <c r="F7" s="169"/>
      <c r="G7" s="170"/>
      <c r="H7" s="26">
        <v>25230</v>
      </c>
      <c r="I7" s="25" t="s">
        <v>139</v>
      </c>
      <c r="J7" s="26" t="s">
        <v>215</v>
      </c>
      <c r="K7" s="19">
        <v>100000</v>
      </c>
    </row>
    <row r="8" spans="2:11" s="24" customFormat="1" ht="32.25" customHeight="1" x14ac:dyDescent="0.2">
      <c r="D8" s="148"/>
      <c r="E8" s="172"/>
      <c r="F8" s="169"/>
      <c r="G8" s="170"/>
      <c r="H8" s="26">
        <v>22110</v>
      </c>
      <c r="I8" s="25" t="s">
        <v>11</v>
      </c>
      <c r="J8" s="26" t="s">
        <v>215</v>
      </c>
      <c r="K8" s="20">
        <v>11400</v>
      </c>
    </row>
    <row r="9" spans="2:11" s="24" customFormat="1" ht="32.25" customHeight="1" x14ac:dyDescent="0.2">
      <c r="D9" s="148"/>
      <c r="E9" s="172"/>
      <c r="F9" s="169"/>
      <c r="G9" s="170"/>
      <c r="H9" s="26">
        <v>22210</v>
      </c>
      <c r="I9" s="25" t="s">
        <v>12</v>
      </c>
      <c r="J9" s="26" t="s">
        <v>215</v>
      </c>
      <c r="K9" s="19">
        <v>20034</v>
      </c>
    </row>
    <row r="10" spans="2:11" s="24" customFormat="1" ht="32.25" customHeight="1" x14ac:dyDescent="0.2">
      <c r="D10" s="148"/>
      <c r="E10" s="172"/>
      <c r="F10" s="169"/>
      <c r="G10" s="170"/>
      <c r="H10" s="26">
        <v>22600</v>
      </c>
      <c r="I10" s="25" t="s">
        <v>28</v>
      </c>
      <c r="J10" s="26" t="s">
        <v>215</v>
      </c>
      <c r="K10" s="19">
        <v>145200</v>
      </c>
    </row>
    <row r="11" spans="2:11" s="24" customFormat="1" ht="32.25" customHeight="1" x14ac:dyDescent="0.2">
      <c r="D11" s="148"/>
      <c r="E11" s="172"/>
      <c r="F11" s="169"/>
      <c r="G11" s="170"/>
      <c r="H11" s="26">
        <v>25300</v>
      </c>
      <c r="I11" s="25" t="s">
        <v>13</v>
      </c>
      <c r="J11" s="26" t="s">
        <v>215</v>
      </c>
      <c r="K11" s="19">
        <v>25200</v>
      </c>
    </row>
    <row r="12" spans="2:11" s="24" customFormat="1" ht="32.25" customHeight="1" x14ac:dyDescent="0.2">
      <c r="D12" s="148"/>
      <c r="E12" s="172"/>
      <c r="F12" s="169"/>
      <c r="G12" s="170"/>
      <c r="H12" s="26">
        <v>25600</v>
      </c>
      <c r="I12" s="25" t="s">
        <v>14</v>
      </c>
      <c r="J12" s="26" t="s">
        <v>215</v>
      </c>
      <c r="K12" s="19">
        <v>36250</v>
      </c>
    </row>
    <row r="13" spans="2:11" s="24" customFormat="1" ht="32.25" customHeight="1" x14ac:dyDescent="0.2">
      <c r="D13" s="148"/>
      <c r="E13" s="172"/>
      <c r="F13" s="169"/>
      <c r="G13" s="155" t="s">
        <v>280</v>
      </c>
      <c r="H13" s="26">
        <v>25700</v>
      </c>
      <c r="I13" s="25" t="s">
        <v>15</v>
      </c>
      <c r="J13" s="26" t="s">
        <v>215</v>
      </c>
      <c r="K13" s="19">
        <v>8750</v>
      </c>
    </row>
    <row r="14" spans="2:11" s="24" customFormat="1" ht="32.25" customHeight="1" x14ac:dyDescent="0.2">
      <c r="D14" s="148"/>
      <c r="E14" s="172"/>
      <c r="F14" s="169"/>
      <c r="G14" s="156"/>
      <c r="H14" s="26">
        <v>25900</v>
      </c>
      <c r="I14" s="25" t="s">
        <v>29</v>
      </c>
      <c r="J14" s="26" t="s">
        <v>215</v>
      </c>
      <c r="K14" s="19">
        <v>14400</v>
      </c>
    </row>
    <row r="15" spans="2:11" s="24" customFormat="1" ht="32.25" customHeight="1" x14ac:dyDescent="0.2">
      <c r="D15" s="148"/>
      <c r="E15" s="172"/>
      <c r="F15" s="169"/>
      <c r="G15" s="156" t="s">
        <v>280</v>
      </c>
      <c r="H15" s="26">
        <v>26930</v>
      </c>
      <c r="I15" s="25" t="s">
        <v>140</v>
      </c>
      <c r="J15" s="26" t="s">
        <v>215</v>
      </c>
      <c r="K15" s="19">
        <v>22500</v>
      </c>
    </row>
    <row r="16" spans="2:11" s="24" customFormat="1" ht="32.25" customHeight="1" x14ac:dyDescent="0.2">
      <c r="D16" s="148"/>
      <c r="E16" s="172"/>
      <c r="F16" s="169"/>
      <c r="G16" s="156"/>
      <c r="H16" s="26">
        <v>31120</v>
      </c>
      <c r="I16" s="25" t="s">
        <v>31</v>
      </c>
      <c r="J16" s="26" t="s">
        <v>215</v>
      </c>
      <c r="K16" s="19">
        <v>11250</v>
      </c>
    </row>
    <row r="17" spans="4:11" s="24" customFormat="1" ht="32.25" customHeight="1" x14ac:dyDescent="0.2">
      <c r="D17" s="148"/>
      <c r="E17" s="172"/>
      <c r="F17" s="169"/>
      <c r="G17" s="156" t="s">
        <v>280</v>
      </c>
      <c r="H17" s="26">
        <v>32100</v>
      </c>
      <c r="I17" s="25" t="s">
        <v>141</v>
      </c>
      <c r="J17" s="26" t="s">
        <v>215</v>
      </c>
      <c r="K17" s="19">
        <v>120200</v>
      </c>
    </row>
    <row r="18" spans="4:11" s="24" customFormat="1" ht="32.25" customHeight="1" x14ac:dyDescent="0.2">
      <c r="D18" s="148"/>
      <c r="E18" s="172"/>
      <c r="F18" s="169"/>
      <c r="G18" s="156"/>
      <c r="H18" s="26">
        <v>32200</v>
      </c>
      <c r="I18" s="25" t="s">
        <v>142</v>
      </c>
      <c r="J18" s="26" t="s">
        <v>215</v>
      </c>
      <c r="K18" s="19">
        <v>59200</v>
      </c>
    </row>
    <row r="19" spans="4:11" s="24" customFormat="1" ht="32.25" customHeight="1" x14ac:dyDescent="0.2">
      <c r="D19" s="148"/>
      <c r="E19" s="172"/>
      <c r="F19" s="169"/>
      <c r="G19" s="156" t="s">
        <v>280</v>
      </c>
      <c r="H19" s="26">
        <v>34200</v>
      </c>
      <c r="I19" s="25" t="s">
        <v>55</v>
      </c>
      <c r="J19" s="26" t="s">
        <v>215</v>
      </c>
      <c r="K19" s="19">
        <v>10250</v>
      </c>
    </row>
    <row r="20" spans="4:11" s="24" customFormat="1" ht="32.25" customHeight="1" x14ac:dyDescent="0.2">
      <c r="D20" s="148"/>
      <c r="E20" s="172"/>
      <c r="F20" s="169"/>
      <c r="G20" s="156"/>
      <c r="H20" s="26">
        <v>34500</v>
      </c>
      <c r="I20" s="25" t="s">
        <v>57</v>
      </c>
      <c r="J20" s="26" t="s">
        <v>215</v>
      </c>
      <c r="K20" s="19">
        <v>4805</v>
      </c>
    </row>
    <row r="21" spans="4:11" s="24" customFormat="1" ht="32.25" customHeight="1" x14ac:dyDescent="0.2">
      <c r="D21" s="148"/>
      <c r="E21" s="172"/>
      <c r="F21" s="169"/>
      <c r="G21" s="156" t="s">
        <v>280</v>
      </c>
      <c r="H21" s="26">
        <v>34800</v>
      </c>
      <c r="I21" s="25" t="s">
        <v>59</v>
      </c>
      <c r="J21" s="26" t="s">
        <v>215</v>
      </c>
      <c r="K21" s="19">
        <v>1800</v>
      </c>
    </row>
    <row r="22" spans="4:11" s="24" customFormat="1" ht="32.25" customHeight="1" x14ac:dyDescent="0.2">
      <c r="D22" s="148"/>
      <c r="E22" s="172"/>
      <c r="F22" s="169"/>
      <c r="G22" s="157"/>
      <c r="H22" s="26">
        <v>39100</v>
      </c>
      <c r="I22" s="25" t="s">
        <v>60</v>
      </c>
      <c r="J22" s="26" t="s">
        <v>215</v>
      </c>
      <c r="K22" s="19">
        <v>79480</v>
      </c>
    </row>
    <row r="23" spans="4:11" s="24" customFormat="1" ht="32.25" customHeight="1" x14ac:dyDescent="0.2">
      <c r="D23" s="148"/>
      <c r="E23" s="172"/>
      <c r="F23" s="169"/>
      <c r="G23" s="170" t="s">
        <v>281</v>
      </c>
      <c r="H23" s="26">
        <v>39500</v>
      </c>
      <c r="I23" s="25" t="s">
        <v>64</v>
      </c>
      <c r="J23" s="26" t="s">
        <v>215</v>
      </c>
      <c r="K23" s="19">
        <v>226300</v>
      </c>
    </row>
    <row r="24" spans="4:11" s="24" customFormat="1" ht="32.25" customHeight="1" x14ac:dyDescent="0.2">
      <c r="D24" s="148"/>
      <c r="E24" s="172"/>
      <c r="F24" s="169"/>
      <c r="G24" s="170"/>
      <c r="H24" s="22">
        <v>39700</v>
      </c>
      <c r="I24" s="25" t="s">
        <v>136</v>
      </c>
      <c r="J24" s="26" t="s">
        <v>215</v>
      </c>
      <c r="K24" s="19">
        <v>20300</v>
      </c>
    </row>
    <row r="25" spans="4:11" s="24" customFormat="1" ht="32.25" customHeight="1" x14ac:dyDescent="0.2">
      <c r="D25" s="148"/>
      <c r="E25" s="172"/>
      <c r="F25" s="169"/>
      <c r="G25" s="170"/>
      <c r="H25" s="26">
        <v>21100</v>
      </c>
      <c r="I25" s="25" t="s">
        <v>63</v>
      </c>
      <c r="J25" s="26" t="s">
        <v>215</v>
      </c>
      <c r="K25" s="19">
        <v>4000</v>
      </c>
    </row>
    <row r="26" spans="4:11" s="24" customFormat="1" ht="32.25" customHeight="1" x14ac:dyDescent="0.2">
      <c r="D26" s="148"/>
      <c r="E26" s="172"/>
      <c r="F26" s="169"/>
      <c r="G26" s="170"/>
      <c r="H26" s="26">
        <v>21200</v>
      </c>
      <c r="I26" s="25" t="s">
        <v>143</v>
      </c>
      <c r="J26" s="26" t="s">
        <v>215</v>
      </c>
      <c r="K26" s="19">
        <v>90120</v>
      </c>
    </row>
    <row r="27" spans="4:11" s="24" customFormat="1" ht="32.25" customHeight="1" x14ac:dyDescent="0.2">
      <c r="D27" s="148"/>
      <c r="E27" s="172"/>
      <c r="F27" s="169"/>
      <c r="G27" s="170"/>
      <c r="H27" s="26">
        <v>21300</v>
      </c>
      <c r="I27" s="25" t="s">
        <v>144</v>
      </c>
      <c r="J27" s="26" t="s">
        <v>215</v>
      </c>
      <c r="K27" s="19">
        <v>43560</v>
      </c>
    </row>
    <row r="28" spans="4:11" s="24" customFormat="1" ht="32.25" customHeight="1" x14ac:dyDescent="0.2">
      <c r="D28" s="148"/>
      <c r="E28" s="172"/>
      <c r="F28" s="169"/>
      <c r="G28" s="170"/>
      <c r="H28" s="26">
        <v>21400</v>
      </c>
      <c r="I28" s="25" t="s">
        <v>145</v>
      </c>
      <c r="J28" s="26" t="s">
        <v>215</v>
      </c>
      <c r="K28" s="19">
        <v>66000</v>
      </c>
    </row>
    <row r="29" spans="4:11" s="24" customFormat="1" ht="32.25" customHeight="1" x14ac:dyDescent="0.2">
      <c r="D29" s="148"/>
      <c r="E29" s="172"/>
      <c r="F29" s="169"/>
      <c r="G29" s="170"/>
      <c r="H29" s="26">
        <v>21600</v>
      </c>
      <c r="I29" s="25" t="s">
        <v>146</v>
      </c>
      <c r="J29" s="26" t="s">
        <v>215</v>
      </c>
      <c r="K29" s="19">
        <v>78720</v>
      </c>
    </row>
    <row r="30" spans="4:11" s="24" customFormat="1" ht="32.25" customHeight="1" x14ac:dyDescent="0.2">
      <c r="D30" s="148"/>
      <c r="E30" s="172"/>
      <c r="F30" s="169"/>
      <c r="G30" s="170"/>
      <c r="H30" s="26">
        <v>43110</v>
      </c>
      <c r="I30" s="25" t="s">
        <v>130</v>
      </c>
      <c r="J30" s="26" t="s">
        <v>216</v>
      </c>
      <c r="K30" s="19">
        <v>10880</v>
      </c>
    </row>
    <row r="31" spans="4:11" s="24" customFormat="1" ht="32.25" customHeight="1" x14ac:dyDescent="0.2">
      <c r="D31" s="148"/>
      <c r="E31" s="172"/>
      <c r="F31" s="169"/>
      <c r="G31" s="170"/>
      <c r="H31" s="26">
        <v>43120</v>
      </c>
      <c r="I31" s="25" t="s">
        <v>16</v>
      </c>
      <c r="J31" s="26" t="s">
        <v>216</v>
      </c>
      <c r="K31" s="19">
        <v>70400</v>
      </c>
    </row>
    <row r="32" spans="4:11" s="24" customFormat="1" ht="32.25" customHeight="1" x14ac:dyDescent="0.2">
      <c r="D32" s="148"/>
      <c r="E32" s="172"/>
      <c r="F32" s="169"/>
      <c r="G32" s="170"/>
      <c r="H32" s="26">
        <v>43600</v>
      </c>
      <c r="I32" s="25" t="s">
        <v>133</v>
      </c>
      <c r="J32" s="26" t="s">
        <v>216</v>
      </c>
      <c r="K32" s="19">
        <v>1450</v>
      </c>
    </row>
    <row r="33" spans="4:11" s="24" customFormat="1" ht="42" customHeight="1" x14ac:dyDescent="0.2">
      <c r="D33" s="148"/>
      <c r="E33" s="172"/>
      <c r="F33" s="169"/>
      <c r="G33" s="170"/>
      <c r="H33" s="34">
        <v>63900</v>
      </c>
      <c r="I33" s="35" t="s">
        <v>147</v>
      </c>
      <c r="J33" s="34" t="s">
        <v>215</v>
      </c>
      <c r="K33" s="21">
        <v>60000</v>
      </c>
    </row>
    <row r="34" spans="4:11" s="24" customFormat="1" ht="42" customHeight="1" x14ac:dyDescent="0.2">
      <c r="D34" s="148"/>
      <c r="E34" s="172"/>
      <c r="F34" s="169"/>
      <c r="G34" s="170"/>
      <c r="H34" s="34">
        <v>73700</v>
      </c>
      <c r="I34" s="35" t="s">
        <v>148</v>
      </c>
      <c r="J34" s="34" t="s">
        <v>215</v>
      </c>
      <c r="K34" s="21">
        <v>120000</v>
      </c>
    </row>
    <row r="35" spans="4:11" s="24" customFormat="1" ht="32.25" customHeight="1" x14ac:dyDescent="0.2">
      <c r="D35" s="148"/>
      <c r="E35" s="172"/>
      <c r="F35" s="169"/>
      <c r="G35" s="170"/>
      <c r="H35" s="26">
        <v>81200</v>
      </c>
      <c r="I35" s="25" t="s">
        <v>149</v>
      </c>
      <c r="J35" s="26" t="s">
        <v>215</v>
      </c>
      <c r="K35" s="19">
        <v>3239772</v>
      </c>
    </row>
    <row r="36" spans="4:11" s="24" customFormat="1" ht="32.25" customHeight="1" x14ac:dyDescent="0.2">
      <c r="D36" s="148"/>
      <c r="E36" s="172"/>
      <c r="F36" s="169"/>
      <c r="G36" s="170"/>
      <c r="H36" s="26">
        <v>81300</v>
      </c>
      <c r="I36" s="25" t="s">
        <v>150</v>
      </c>
      <c r="J36" s="26" t="s">
        <v>215</v>
      </c>
      <c r="K36" s="19">
        <v>6069672</v>
      </c>
    </row>
    <row r="37" spans="4:11" s="24" customFormat="1" ht="32.25" customHeight="1" x14ac:dyDescent="0.2">
      <c r="D37" s="148"/>
      <c r="E37" s="172"/>
      <c r="F37" s="169"/>
      <c r="G37" s="170"/>
      <c r="H37" s="26">
        <v>85100</v>
      </c>
      <c r="I37" s="25" t="s">
        <v>151</v>
      </c>
      <c r="J37" s="26" t="s">
        <v>215</v>
      </c>
      <c r="K37" s="19">
        <v>350000.00099999999</v>
      </c>
    </row>
    <row r="38" spans="4:11" s="24" customFormat="1" ht="32.25" customHeight="1" x14ac:dyDescent="0.2">
      <c r="D38" s="148"/>
      <c r="E38" s="172"/>
      <c r="F38" s="169"/>
      <c r="G38" s="170"/>
      <c r="H38" s="26">
        <v>85400</v>
      </c>
      <c r="I38" s="25" t="s">
        <v>152</v>
      </c>
      <c r="J38" s="26" t="s">
        <v>215</v>
      </c>
      <c r="K38" s="19">
        <v>270000</v>
      </c>
    </row>
    <row r="39" spans="4:11" s="24" customFormat="1" ht="32.25" customHeight="1" x14ac:dyDescent="0.2">
      <c r="D39" s="148"/>
      <c r="E39" s="172"/>
      <c r="F39" s="169"/>
      <c r="G39" s="170"/>
      <c r="H39" s="26">
        <v>85500</v>
      </c>
      <c r="I39" s="25" t="s">
        <v>153</v>
      </c>
      <c r="J39" s="26" t="s">
        <v>215</v>
      </c>
      <c r="K39" s="19">
        <v>42324</v>
      </c>
    </row>
    <row r="40" spans="4:11" s="24" customFormat="1" ht="32.25" customHeight="1" x14ac:dyDescent="0.2">
      <c r="D40" s="148"/>
      <c r="E40" s="172"/>
      <c r="F40" s="169"/>
      <c r="G40" s="170"/>
      <c r="H40" s="26">
        <v>95100</v>
      </c>
      <c r="I40" s="25" t="s">
        <v>154</v>
      </c>
      <c r="J40" s="26" t="s">
        <v>215</v>
      </c>
      <c r="K40" s="19">
        <v>1019200</v>
      </c>
    </row>
    <row r="41" spans="4:11" s="24" customFormat="1" ht="32.25" customHeight="1" x14ac:dyDescent="0.2">
      <c r="D41" s="148"/>
      <c r="E41" s="172"/>
      <c r="F41" s="169"/>
      <c r="G41" s="170"/>
      <c r="H41" s="26">
        <v>96100</v>
      </c>
      <c r="I41" s="25" t="s">
        <v>155</v>
      </c>
      <c r="J41" s="26" t="s">
        <v>215</v>
      </c>
      <c r="K41" s="19">
        <v>696000</v>
      </c>
    </row>
    <row r="42" spans="4:11" s="24" customFormat="1" ht="32.25" customHeight="1" x14ac:dyDescent="0.2">
      <c r="D42" s="149"/>
      <c r="E42" s="173"/>
      <c r="F42" s="169"/>
      <c r="G42" s="170"/>
      <c r="H42" s="26">
        <v>96200</v>
      </c>
      <c r="I42" s="25" t="s">
        <v>156</v>
      </c>
      <c r="J42" s="26" t="s">
        <v>215</v>
      </c>
      <c r="K42" s="19">
        <v>400000</v>
      </c>
    </row>
    <row r="43" spans="4:11" s="24" customFormat="1" ht="32.25" customHeight="1" x14ac:dyDescent="0.2">
      <c r="D43" s="152" t="s">
        <v>195</v>
      </c>
      <c r="E43" s="153"/>
      <c r="F43" s="153"/>
      <c r="G43" s="153"/>
      <c r="H43" s="153"/>
      <c r="I43" s="154"/>
      <c r="J43" s="60"/>
      <c r="K43" s="62">
        <f>SUM(K5:K42)</f>
        <v>15018645.001</v>
      </c>
    </row>
    <row r="44" spans="4:11" s="24" customFormat="1" ht="15" x14ac:dyDescent="0.2">
      <c r="F44" s="41"/>
      <c r="K44" s="38"/>
    </row>
    <row r="45" spans="4:11" s="24" customFormat="1" x14ac:dyDescent="0.2">
      <c r="F45" s="41"/>
      <c r="K45" s="37"/>
    </row>
    <row r="46" spans="4:11" s="24" customFormat="1" x14ac:dyDescent="0.2">
      <c r="F46" s="41"/>
      <c r="K46" s="37"/>
    </row>
    <row r="47" spans="4:11" s="24" customFormat="1" x14ac:dyDescent="0.2">
      <c r="F47" s="41"/>
    </row>
    <row r="50" spans="9:10" x14ac:dyDescent="0.2">
      <c r="I50" s="18"/>
      <c r="J50" s="18"/>
    </row>
    <row r="51" spans="9:10" x14ac:dyDescent="0.2">
      <c r="I51" s="18"/>
      <c r="J51" s="18"/>
    </row>
  </sheetData>
  <autoFilter ref="A4:K43" xr:uid="{00000000-0009-0000-0000-000003000000}"/>
  <mergeCells count="10">
    <mergeCell ref="D1:K1"/>
    <mergeCell ref="D2:K2"/>
    <mergeCell ref="D3:K3"/>
    <mergeCell ref="D5:D42"/>
    <mergeCell ref="D43:I43"/>
    <mergeCell ref="F5:F42"/>
    <mergeCell ref="G5:G12"/>
    <mergeCell ref="G13:G22"/>
    <mergeCell ref="G23:G42"/>
    <mergeCell ref="E5:E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28"/>
  <sheetViews>
    <sheetView topLeftCell="D47" zoomScale="78" zoomScaleNormal="78" workbookViewId="0">
      <selection activeCell="D56" sqref="D56:I56"/>
    </sheetView>
  </sheetViews>
  <sheetFormatPr baseColWidth="10" defaultRowHeight="14.25" x14ac:dyDescent="0.2"/>
  <cols>
    <col min="1" max="3" width="0" style="14" hidden="1" customWidth="1"/>
    <col min="4" max="4" width="11.42578125" style="14"/>
    <col min="5" max="5" width="25.28515625" style="14" customWidth="1"/>
    <col min="6" max="6" width="20.42578125" style="40" customWidth="1"/>
    <col min="7" max="7" width="33.7109375" style="14" customWidth="1"/>
    <col min="8" max="8" width="13.7109375" style="14" customWidth="1"/>
    <col min="9" max="10" width="40.7109375" style="14" customWidth="1"/>
    <col min="11" max="11" width="27.7109375" style="14" customWidth="1"/>
    <col min="12" max="16384" width="11.42578125" style="14"/>
  </cols>
  <sheetData>
    <row r="1" spans="2:11" ht="21" customHeight="1" x14ac:dyDescent="0.2">
      <c r="D1" s="168"/>
      <c r="E1" s="168"/>
      <c r="F1" s="168"/>
      <c r="G1" s="168"/>
      <c r="H1" s="168"/>
      <c r="I1" s="168"/>
      <c r="J1" s="168"/>
      <c r="K1" s="168"/>
    </row>
    <row r="2" spans="2:11" ht="30.75" customHeight="1" x14ac:dyDescent="0.25">
      <c r="D2" s="166" t="s">
        <v>211</v>
      </c>
      <c r="E2" s="166"/>
      <c r="F2" s="166"/>
      <c r="G2" s="166"/>
      <c r="H2" s="166"/>
      <c r="I2" s="166"/>
      <c r="J2" s="166"/>
      <c r="K2" s="166"/>
    </row>
    <row r="3" spans="2:11" ht="27.75" customHeight="1" thickBot="1" x14ac:dyDescent="0.3">
      <c r="D3" s="167" t="s">
        <v>202</v>
      </c>
      <c r="E3" s="167"/>
      <c r="F3" s="167"/>
      <c r="G3" s="167"/>
      <c r="H3" s="167"/>
      <c r="I3" s="167"/>
      <c r="J3" s="167"/>
      <c r="K3" s="167"/>
    </row>
    <row r="4" spans="2:11" ht="31.5" customHeight="1" x14ac:dyDescent="0.2">
      <c r="B4" s="15" t="s">
        <v>0</v>
      </c>
      <c r="C4" s="16" t="s">
        <v>1</v>
      </c>
      <c r="D4" s="59" t="s">
        <v>175</v>
      </c>
      <c r="E4" s="67" t="s">
        <v>214</v>
      </c>
      <c r="F4" s="59" t="s">
        <v>203</v>
      </c>
      <c r="G4" s="59" t="s">
        <v>204</v>
      </c>
      <c r="H4" s="59" t="s">
        <v>127</v>
      </c>
      <c r="I4" s="59" t="s">
        <v>205</v>
      </c>
      <c r="J4" s="59" t="s">
        <v>213</v>
      </c>
      <c r="K4" s="59" t="s">
        <v>206</v>
      </c>
    </row>
    <row r="5" spans="2:11" s="24" customFormat="1" ht="31.5" customHeight="1" x14ac:dyDescent="0.2">
      <c r="D5" s="147">
        <v>3</v>
      </c>
      <c r="E5" s="171" t="s">
        <v>277</v>
      </c>
      <c r="F5" s="169" t="s">
        <v>40</v>
      </c>
      <c r="G5" s="143" t="s">
        <v>222</v>
      </c>
      <c r="H5" s="26">
        <v>25220</v>
      </c>
      <c r="I5" s="25" t="s">
        <v>10</v>
      </c>
      <c r="J5" s="26" t="s">
        <v>215</v>
      </c>
      <c r="K5" s="19">
        <v>1371180</v>
      </c>
    </row>
    <row r="6" spans="2:11" s="24" customFormat="1" ht="31.5" customHeight="1" x14ac:dyDescent="0.2">
      <c r="D6" s="148"/>
      <c r="E6" s="172"/>
      <c r="F6" s="169"/>
      <c r="G6" s="144" t="s">
        <v>223</v>
      </c>
      <c r="H6" s="26">
        <v>22110</v>
      </c>
      <c r="I6" s="25" t="s">
        <v>11</v>
      </c>
      <c r="J6" s="26" t="s">
        <v>215</v>
      </c>
      <c r="K6" s="19">
        <v>12880</v>
      </c>
    </row>
    <row r="7" spans="2:11" s="24" customFormat="1" ht="31.5" customHeight="1" x14ac:dyDescent="0.2">
      <c r="D7" s="148"/>
      <c r="E7" s="172"/>
      <c r="F7" s="169"/>
      <c r="G7" s="145" t="s">
        <v>224</v>
      </c>
      <c r="H7" s="26">
        <v>22120</v>
      </c>
      <c r="I7" s="25" t="s">
        <v>46</v>
      </c>
      <c r="J7" s="26" t="s">
        <v>215</v>
      </c>
      <c r="K7" s="19">
        <v>10000</v>
      </c>
    </row>
    <row r="8" spans="2:11" s="24" customFormat="1" ht="31.5" customHeight="1" x14ac:dyDescent="0.2">
      <c r="D8" s="148"/>
      <c r="E8" s="172"/>
      <c r="F8" s="169"/>
      <c r="G8" s="146" t="s">
        <v>223</v>
      </c>
      <c r="H8" s="26">
        <v>22210</v>
      </c>
      <c r="I8" s="25" t="s">
        <v>12</v>
      </c>
      <c r="J8" s="26" t="s">
        <v>215</v>
      </c>
      <c r="K8" s="19">
        <v>10388</v>
      </c>
    </row>
    <row r="9" spans="2:11" s="24" customFormat="1" ht="31.5" customHeight="1" x14ac:dyDescent="0.2">
      <c r="D9" s="148"/>
      <c r="E9" s="172"/>
      <c r="F9" s="169"/>
      <c r="G9" s="146"/>
      <c r="H9" s="26">
        <v>22220</v>
      </c>
      <c r="I9" s="25" t="s">
        <v>160</v>
      </c>
      <c r="J9" s="26" t="s">
        <v>215</v>
      </c>
      <c r="K9" s="19">
        <v>13800</v>
      </c>
    </row>
    <row r="10" spans="2:11" s="24" customFormat="1" ht="31.5" customHeight="1" x14ac:dyDescent="0.2">
      <c r="D10" s="148"/>
      <c r="E10" s="172"/>
      <c r="F10" s="169"/>
      <c r="G10" s="146"/>
      <c r="H10" s="26">
        <v>22300</v>
      </c>
      <c r="I10" s="25" t="s">
        <v>47</v>
      </c>
      <c r="J10" s="26" t="s">
        <v>215</v>
      </c>
      <c r="K10" s="19">
        <v>12000</v>
      </c>
    </row>
    <row r="11" spans="2:11" s="24" customFormat="1" ht="31.5" customHeight="1" x14ac:dyDescent="0.2">
      <c r="D11" s="148"/>
      <c r="E11" s="172"/>
      <c r="F11" s="169"/>
      <c r="G11" s="146"/>
      <c r="H11" s="26">
        <v>22500</v>
      </c>
      <c r="I11" s="25" t="s">
        <v>48</v>
      </c>
      <c r="J11" s="26" t="s">
        <v>215</v>
      </c>
      <c r="K11" s="19">
        <v>1994332</v>
      </c>
    </row>
    <row r="12" spans="2:11" s="24" customFormat="1" ht="31.5" customHeight="1" x14ac:dyDescent="0.2">
      <c r="D12" s="148"/>
      <c r="E12" s="172"/>
      <c r="F12" s="169"/>
      <c r="G12" s="146"/>
      <c r="H12" s="26">
        <v>22600</v>
      </c>
      <c r="I12" s="25" t="s">
        <v>28</v>
      </c>
      <c r="J12" s="26" t="s">
        <v>215</v>
      </c>
      <c r="K12" s="19">
        <v>3000</v>
      </c>
    </row>
    <row r="13" spans="2:11" s="24" customFormat="1" ht="31.5" customHeight="1" x14ac:dyDescent="0.2">
      <c r="D13" s="148"/>
      <c r="E13" s="172"/>
      <c r="F13" s="169"/>
      <c r="G13" s="146"/>
      <c r="H13" s="26">
        <v>24130</v>
      </c>
      <c r="I13" s="25" t="s">
        <v>161</v>
      </c>
      <c r="J13" s="26" t="s">
        <v>215</v>
      </c>
      <c r="K13" s="19">
        <v>6800</v>
      </c>
    </row>
    <row r="14" spans="2:11" s="24" customFormat="1" ht="31.5" customHeight="1" x14ac:dyDescent="0.2">
      <c r="D14" s="148"/>
      <c r="E14" s="172"/>
      <c r="F14" s="169"/>
      <c r="G14" s="146"/>
      <c r="H14" s="26">
        <v>25500</v>
      </c>
      <c r="I14" s="25" t="s">
        <v>32</v>
      </c>
      <c r="J14" s="26" t="s">
        <v>215</v>
      </c>
      <c r="K14" s="19">
        <v>72480</v>
      </c>
    </row>
    <row r="15" spans="2:11" s="24" customFormat="1" ht="31.5" customHeight="1" x14ac:dyDescent="0.2">
      <c r="D15" s="148"/>
      <c r="E15" s="172"/>
      <c r="F15" s="169"/>
      <c r="G15" s="146" t="s">
        <v>224</v>
      </c>
      <c r="H15" s="26">
        <v>25600</v>
      </c>
      <c r="I15" s="25" t="s">
        <v>14</v>
      </c>
      <c r="J15" s="26" t="s">
        <v>215</v>
      </c>
      <c r="K15" s="19">
        <v>98885</v>
      </c>
    </row>
    <row r="16" spans="2:11" s="24" customFormat="1" ht="31.5" customHeight="1" x14ac:dyDescent="0.2">
      <c r="D16" s="148"/>
      <c r="E16" s="172"/>
      <c r="F16" s="169"/>
      <c r="G16" s="146"/>
      <c r="H16" s="26">
        <v>26200</v>
      </c>
      <c r="I16" s="25" t="s">
        <v>134</v>
      </c>
      <c r="J16" s="26" t="s">
        <v>215</v>
      </c>
      <c r="K16" s="19">
        <v>2000</v>
      </c>
    </row>
    <row r="17" spans="4:11" s="24" customFormat="1" ht="31.5" customHeight="1" x14ac:dyDescent="0.2">
      <c r="D17" s="148"/>
      <c r="E17" s="172"/>
      <c r="F17" s="169"/>
      <c r="G17" s="146"/>
      <c r="H17" s="26">
        <v>26300</v>
      </c>
      <c r="I17" s="25" t="s">
        <v>50</v>
      </c>
      <c r="J17" s="26" t="s">
        <v>215</v>
      </c>
      <c r="K17" s="19">
        <v>2450000</v>
      </c>
    </row>
    <row r="18" spans="4:11" s="24" customFormat="1" ht="31.5" customHeight="1" x14ac:dyDescent="0.2">
      <c r="D18" s="148"/>
      <c r="E18" s="172"/>
      <c r="F18" s="169"/>
      <c r="G18" s="146"/>
      <c r="H18" s="26">
        <v>31120</v>
      </c>
      <c r="I18" s="25" t="s">
        <v>31</v>
      </c>
      <c r="J18" s="26" t="s">
        <v>215</v>
      </c>
      <c r="K18" s="19">
        <v>2500</v>
      </c>
    </row>
    <row r="19" spans="4:11" s="24" customFormat="1" ht="31.5" customHeight="1" x14ac:dyDescent="0.2">
      <c r="D19" s="148"/>
      <c r="E19" s="172"/>
      <c r="F19" s="169"/>
      <c r="G19" s="146"/>
      <c r="H19" s="26">
        <v>32300</v>
      </c>
      <c r="I19" s="25" t="s">
        <v>162</v>
      </c>
      <c r="J19" s="26" t="s">
        <v>215</v>
      </c>
      <c r="K19" s="19">
        <v>16250</v>
      </c>
    </row>
    <row r="20" spans="4:11" s="24" customFormat="1" ht="31.5" customHeight="1" x14ac:dyDescent="0.2">
      <c r="D20" s="148"/>
      <c r="E20" s="172"/>
      <c r="F20" s="169"/>
      <c r="G20" s="146"/>
      <c r="H20" s="26">
        <v>33300</v>
      </c>
      <c r="I20" s="25" t="s">
        <v>52</v>
      </c>
      <c r="J20" s="26" t="s">
        <v>215</v>
      </c>
      <c r="K20" s="19">
        <v>12300</v>
      </c>
    </row>
    <row r="21" spans="4:11" s="24" customFormat="1" ht="31.5" customHeight="1" x14ac:dyDescent="0.2">
      <c r="D21" s="148"/>
      <c r="E21" s="172"/>
      <c r="F21" s="169"/>
      <c r="G21" s="146"/>
      <c r="H21" s="26">
        <v>33400</v>
      </c>
      <c r="I21" s="25" t="s">
        <v>53</v>
      </c>
      <c r="J21" s="26" t="s">
        <v>215</v>
      </c>
      <c r="K21" s="19">
        <v>6240</v>
      </c>
    </row>
    <row r="22" spans="4:11" s="24" customFormat="1" ht="31.5" customHeight="1" x14ac:dyDescent="0.2">
      <c r="D22" s="148"/>
      <c r="E22" s="172"/>
      <c r="F22" s="169"/>
      <c r="G22" s="146"/>
      <c r="H22" s="26">
        <v>97100</v>
      </c>
      <c r="I22" s="25" t="s">
        <v>163</v>
      </c>
      <c r="J22" s="26" t="s">
        <v>215</v>
      </c>
      <c r="K22" s="19">
        <v>2550000</v>
      </c>
    </row>
    <row r="23" spans="4:11" s="24" customFormat="1" ht="31.5" customHeight="1" x14ac:dyDescent="0.2">
      <c r="D23" s="148"/>
      <c r="E23" s="172"/>
      <c r="F23" s="169"/>
      <c r="G23" s="146"/>
      <c r="H23" s="26">
        <v>43110</v>
      </c>
      <c r="I23" s="25" t="s">
        <v>130</v>
      </c>
      <c r="J23" s="26" t="s">
        <v>216</v>
      </c>
      <c r="K23" s="19">
        <v>13360</v>
      </c>
    </row>
    <row r="24" spans="4:11" s="24" customFormat="1" ht="31.5" customHeight="1" x14ac:dyDescent="0.2">
      <c r="D24" s="148"/>
      <c r="E24" s="172"/>
      <c r="F24" s="169"/>
      <c r="G24" s="146"/>
      <c r="H24" s="26">
        <v>43120</v>
      </c>
      <c r="I24" s="25" t="s">
        <v>16</v>
      </c>
      <c r="J24" s="26" t="s">
        <v>216</v>
      </c>
      <c r="K24" s="19">
        <v>69700</v>
      </c>
    </row>
    <row r="25" spans="4:11" s="24" customFormat="1" ht="31.5" customHeight="1" x14ac:dyDescent="0.2">
      <c r="D25" s="148"/>
      <c r="E25" s="172"/>
      <c r="F25" s="169"/>
      <c r="G25" s="146"/>
      <c r="H25" s="36">
        <v>43500</v>
      </c>
      <c r="I25" s="23" t="s">
        <v>132</v>
      </c>
      <c r="J25" s="26" t="s">
        <v>216</v>
      </c>
      <c r="K25" s="19">
        <v>5600</v>
      </c>
    </row>
    <row r="26" spans="4:11" s="24" customFormat="1" ht="31.5" customHeight="1" x14ac:dyDescent="0.2">
      <c r="D26" s="148"/>
      <c r="E26" s="172"/>
      <c r="F26" s="169"/>
      <c r="G26" s="146"/>
      <c r="H26" s="26">
        <v>43700</v>
      </c>
      <c r="I26" s="25" t="s">
        <v>166</v>
      </c>
      <c r="J26" s="26" t="s">
        <v>216</v>
      </c>
      <c r="K26" s="19">
        <v>30000</v>
      </c>
    </row>
    <row r="27" spans="4:11" s="24" customFormat="1" ht="31.5" customHeight="1" x14ac:dyDescent="0.2">
      <c r="D27" s="148"/>
      <c r="E27" s="172"/>
      <c r="F27" s="169" t="s">
        <v>174</v>
      </c>
      <c r="G27" s="146" t="s">
        <v>221</v>
      </c>
      <c r="H27" s="26">
        <v>25220</v>
      </c>
      <c r="I27" s="25" t="s">
        <v>10</v>
      </c>
      <c r="J27" s="26" t="s">
        <v>215</v>
      </c>
      <c r="K27" s="19">
        <v>237600</v>
      </c>
    </row>
    <row r="28" spans="4:11" s="24" customFormat="1" ht="31.5" customHeight="1" x14ac:dyDescent="0.2">
      <c r="D28" s="148"/>
      <c r="E28" s="172"/>
      <c r="F28" s="169"/>
      <c r="G28" s="146"/>
      <c r="H28" s="26">
        <v>22110</v>
      </c>
      <c r="I28" s="25" t="s">
        <v>11</v>
      </c>
      <c r="J28" s="26" t="s">
        <v>215</v>
      </c>
      <c r="K28" s="19">
        <v>5000</v>
      </c>
    </row>
    <row r="29" spans="4:11" s="24" customFormat="1" ht="31.5" customHeight="1" x14ac:dyDescent="0.2">
      <c r="D29" s="148"/>
      <c r="E29" s="172"/>
      <c r="F29" s="169"/>
      <c r="G29" s="146"/>
      <c r="H29" s="26">
        <v>22210</v>
      </c>
      <c r="I29" s="25" t="s">
        <v>12</v>
      </c>
      <c r="J29" s="26" t="s">
        <v>215</v>
      </c>
      <c r="K29" s="19">
        <v>5936</v>
      </c>
    </row>
    <row r="30" spans="4:11" s="24" customFormat="1" ht="31.5" customHeight="1" x14ac:dyDescent="0.2">
      <c r="D30" s="148"/>
      <c r="E30" s="172"/>
      <c r="F30" s="169"/>
      <c r="G30" s="146"/>
      <c r="H30" s="26">
        <v>22500</v>
      </c>
      <c r="I30" s="25" t="s">
        <v>48</v>
      </c>
      <c r="J30" s="26" t="s">
        <v>215</v>
      </c>
      <c r="K30" s="19">
        <v>360</v>
      </c>
    </row>
    <row r="31" spans="4:11" s="24" customFormat="1" ht="31.5" customHeight="1" x14ac:dyDescent="0.2">
      <c r="D31" s="148"/>
      <c r="E31" s="172"/>
      <c r="F31" s="169"/>
      <c r="G31" s="146"/>
      <c r="H31" s="26">
        <v>22600</v>
      </c>
      <c r="I31" s="25" t="s">
        <v>28</v>
      </c>
      <c r="J31" s="26" t="s">
        <v>215</v>
      </c>
      <c r="K31" s="19">
        <v>157640</v>
      </c>
    </row>
    <row r="32" spans="4:11" s="24" customFormat="1" ht="31.5" customHeight="1" x14ac:dyDescent="0.2">
      <c r="D32" s="148"/>
      <c r="E32" s="172"/>
      <c r="F32" s="169"/>
      <c r="G32" s="146"/>
      <c r="H32" s="26">
        <v>23100</v>
      </c>
      <c r="I32" s="25" t="s">
        <v>169</v>
      </c>
      <c r="J32" s="26" t="s">
        <v>215</v>
      </c>
      <c r="K32" s="19">
        <v>1072800</v>
      </c>
    </row>
    <row r="33" spans="4:11" s="24" customFormat="1" ht="31.5" customHeight="1" x14ac:dyDescent="0.2">
      <c r="D33" s="148"/>
      <c r="E33" s="172"/>
      <c r="F33" s="169"/>
      <c r="G33" s="146"/>
      <c r="H33" s="26">
        <v>23400</v>
      </c>
      <c r="I33" s="25" t="s">
        <v>128</v>
      </c>
      <c r="J33" s="26" t="s">
        <v>215</v>
      </c>
      <c r="K33" s="19">
        <v>1812000</v>
      </c>
    </row>
    <row r="34" spans="4:11" s="24" customFormat="1" ht="31.5" customHeight="1" x14ac:dyDescent="0.2">
      <c r="D34" s="148"/>
      <c r="E34" s="172"/>
      <c r="F34" s="169"/>
      <c r="G34" s="146"/>
      <c r="H34" s="26">
        <v>24110</v>
      </c>
      <c r="I34" s="25" t="s">
        <v>129</v>
      </c>
      <c r="J34" s="26" t="s">
        <v>215</v>
      </c>
      <c r="K34" s="19">
        <v>54425</v>
      </c>
    </row>
    <row r="35" spans="4:11" s="24" customFormat="1" ht="31.5" customHeight="1" x14ac:dyDescent="0.2">
      <c r="D35" s="148"/>
      <c r="E35" s="172"/>
      <c r="F35" s="169"/>
      <c r="G35" s="146"/>
      <c r="H35" s="26">
        <v>24120</v>
      </c>
      <c r="I35" s="25" t="s">
        <v>164</v>
      </c>
      <c r="J35" s="26" t="s">
        <v>215</v>
      </c>
      <c r="K35" s="19">
        <v>72199</v>
      </c>
    </row>
    <row r="36" spans="4:11" s="24" customFormat="1" ht="31.5" customHeight="1" x14ac:dyDescent="0.2">
      <c r="D36" s="148"/>
      <c r="E36" s="172"/>
      <c r="F36" s="169"/>
      <c r="G36" s="146"/>
      <c r="H36" s="26">
        <v>24130</v>
      </c>
      <c r="I36" s="25" t="s">
        <v>161</v>
      </c>
      <c r="J36" s="26" t="s">
        <v>215</v>
      </c>
      <c r="K36" s="19">
        <v>5950</v>
      </c>
    </row>
    <row r="37" spans="4:11" s="24" customFormat="1" ht="31.5" customHeight="1" x14ac:dyDescent="0.2">
      <c r="D37" s="148"/>
      <c r="E37" s="172"/>
      <c r="F37" s="169"/>
      <c r="G37" s="146"/>
      <c r="H37" s="26">
        <v>24300</v>
      </c>
      <c r="I37" s="25" t="s">
        <v>167</v>
      </c>
      <c r="J37" s="26" t="s">
        <v>215</v>
      </c>
      <c r="K37" s="19">
        <v>600</v>
      </c>
    </row>
    <row r="38" spans="4:11" s="24" customFormat="1" ht="31.5" customHeight="1" x14ac:dyDescent="0.2">
      <c r="D38" s="148"/>
      <c r="E38" s="172"/>
      <c r="F38" s="169"/>
      <c r="G38" s="146"/>
      <c r="H38" s="26">
        <v>25500</v>
      </c>
      <c r="I38" s="25" t="s">
        <v>32</v>
      </c>
      <c r="J38" s="26" t="s">
        <v>215</v>
      </c>
      <c r="K38" s="19">
        <v>8500</v>
      </c>
    </row>
    <row r="39" spans="4:11" s="24" customFormat="1" ht="31.5" customHeight="1" x14ac:dyDescent="0.2">
      <c r="D39" s="148"/>
      <c r="E39" s="172"/>
      <c r="F39" s="169"/>
      <c r="G39" s="146"/>
      <c r="H39" s="26">
        <v>25600</v>
      </c>
      <c r="I39" s="25" t="s">
        <v>14</v>
      </c>
      <c r="J39" s="26" t="s">
        <v>215</v>
      </c>
      <c r="K39" s="19">
        <v>7801</v>
      </c>
    </row>
    <row r="40" spans="4:11" s="24" customFormat="1" ht="31.5" customHeight="1" x14ac:dyDescent="0.2">
      <c r="D40" s="148"/>
      <c r="E40" s="172"/>
      <c r="F40" s="169"/>
      <c r="G40" s="146"/>
      <c r="H40" s="26">
        <v>25700</v>
      </c>
      <c r="I40" s="25" t="s">
        <v>15</v>
      </c>
      <c r="J40" s="26" t="s">
        <v>215</v>
      </c>
      <c r="K40" s="19">
        <v>2640</v>
      </c>
    </row>
    <row r="41" spans="4:11" s="24" customFormat="1" ht="31.5" customHeight="1" x14ac:dyDescent="0.2">
      <c r="D41" s="148"/>
      <c r="E41" s="172"/>
      <c r="F41" s="169"/>
      <c r="G41" s="146"/>
      <c r="H41" s="26">
        <v>26990</v>
      </c>
      <c r="I41" s="25" t="s">
        <v>51</v>
      </c>
      <c r="J41" s="26" t="s">
        <v>215</v>
      </c>
      <c r="K41" s="19">
        <v>4885420</v>
      </c>
    </row>
    <row r="42" spans="4:11" s="24" customFormat="1" ht="31.5" customHeight="1" x14ac:dyDescent="0.2">
      <c r="D42" s="148"/>
      <c r="E42" s="172"/>
      <c r="F42" s="169"/>
      <c r="G42" s="146"/>
      <c r="H42" s="26">
        <v>31120</v>
      </c>
      <c r="I42" s="25" t="s">
        <v>31</v>
      </c>
      <c r="J42" s="26" t="s">
        <v>215</v>
      </c>
      <c r="K42" s="19">
        <v>12188</v>
      </c>
    </row>
    <row r="43" spans="4:11" s="24" customFormat="1" ht="31.5" customHeight="1" x14ac:dyDescent="0.2">
      <c r="D43" s="148"/>
      <c r="E43" s="172"/>
      <c r="F43" s="169"/>
      <c r="G43" s="146"/>
      <c r="H43" s="26">
        <v>31140</v>
      </c>
      <c r="I43" s="25" t="s">
        <v>170</v>
      </c>
      <c r="J43" s="26" t="s">
        <v>215</v>
      </c>
      <c r="K43" s="19">
        <v>50046</v>
      </c>
    </row>
    <row r="44" spans="4:11" s="24" customFormat="1" ht="31.5" customHeight="1" x14ac:dyDescent="0.2">
      <c r="D44" s="148"/>
      <c r="E44" s="172"/>
      <c r="F44" s="169"/>
      <c r="G44" s="146"/>
      <c r="H44" s="26">
        <v>33300</v>
      </c>
      <c r="I44" s="25" t="s">
        <v>52</v>
      </c>
      <c r="J44" s="26" t="s">
        <v>215</v>
      </c>
      <c r="K44" s="19">
        <v>3510</v>
      </c>
    </row>
    <row r="45" spans="4:11" s="24" customFormat="1" ht="31.5" customHeight="1" x14ac:dyDescent="0.2">
      <c r="D45" s="148"/>
      <c r="E45" s="172"/>
      <c r="F45" s="169"/>
      <c r="G45" s="146"/>
      <c r="H45" s="26">
        <v>33400</v>
      </c>
      <c r="I45" s="25" t="s">
        <v>53</v>
      </c>
      <c r="J45" s="26" t="s">
        <v>215</v>
      </c>
      <c r="K45" s="19">
        <v>3588</v>
      </c>
    </row>
    <row r="46" spans="4:11" s="24" customFormat="1" ht="31.5" customHeight="1" x14ac:dyDescent="0.2">
      <c r="D46" s="148"/>
      <c r="E46" s="172"/>
      <c r="F46" s="169"/>
      <c r="G46" s="146"/>
      <c r="H46" s="26">
        <v>34110</v>
      </c>
      <c r="I46" s="25" t="s">
        <v>54</v>
      </c>
      <c r="J46" s="26" t="s">
        <v>215</v>
      </c>
      <c r="K46" s="19">
        <v>65159</v>
      </c>
    </row>
    <row r="47" spans="4:11" s="24" customFormat="1" ht="31.5" customHeight="1" x14ac:dyDescent="0.2">
      <c r="D47" s="148"/>
      <c r="E47" s="172"/>
      <c r="F47" s="169"/>
      <c r="G47" s="146"/>
      <c r="H47" s="26">
        <v>34300</v>
      </c>
      <c r="I47" s="25" t="s">
        <v>56</v>
      </c>
      <c r="J47" s="26" t="s">
        <v>215</v>
      </c>
      <c r="K47" s="19">
        <v>39000</v>
      </c>
    </row>
    <row r="48" spans="4:11" s="24" customFormat="1" ht="31.5" customHeight="1" x14ac:dyDescent="0.2">
      <c r="D48" s="148"/>
      <c r="E48" s="172"/>
      <c r="F48" s="169"/>
      <c r="G48" s="146"/>
      <c r="H48" s="26">
        <v>39800</v>
      </c>
      <c r="I48" s="25" t="s">
        <v>61</v>
      </c>
      <c r="J48" s="26" t="s">
        <v>215</v>
      </c>
      <c r="K48" s="19">
        <v>27274</v>
      </c>
    </row>
    <row r="49" spans="4:11" s="24" customFormat="1" ht="31.5" customHeight="1" x14ac:dyDescent="0.2">
      <c r="D49" s="148"/>
      <c r="E49" s="172"/>
      <c r="F49" s="169"/>
      <c r="G49" s="146"/>
      <c r="H49" s="26">
        <v>21200</v>
      </c>
      <c r="I49" s="25" t="s">
        <v>143</v>
      </c>
      <c r="J49" s="26" t="s">
        <v>215</v>
      </c>
      <c r="K49" s="19">
        <v>87600</v>
      </c>
    </row>
    <row r="50" spans="4:11" s="24" customFormat="1" ht="31.5" customHeight="1" x14ac:dyDescent="0.2">
      <c r="D50" s="148"/>
      <c r="E50" s="172"/>
      <c r="F50" s="169"/>
      <c r="G50" s="146"/>
      <c r="H50" s="26">
        <v>21400</v>
      </c>
      <c r="I50" s="25" t="s">
        <v>145</v>
      </c>
      <c r="J50" s="26" t="s">
        <v>215</v>
      </c>
      <c r="K50" s="19">
        <v>4320</v>
      </c>
    </row>
    <row r="51" spans="4:11" s="24" customFormat="1" ht="31.5" customHeight="1" x14ac:dyDescent="0.2">
      <c r="D51" s="148"/>
      <c r="E51" s="172"/>
      <c r="F51" s="169"/>
      <c r="G51" s="146"/>
      <c r="H51" s="26">
        <v>85100</v>
      </c>
      <c r="I51" s="25" t="s">
        <v>151</v>
      </c>
      <c r="J51" s="26" t="s">
        <v>215</v>
      </c>
      <c r="K51" s="19">
        <v>2160</v>
      </c>
    </row>
    <row r="52" spans="4:11" s="24" customFormat="1" ht="31.5" customHeight="1" x14ac:dyDescent="0.2">
      <c r="D52" s="148"/>
      <c r="E52" s="172"/>
      <c r="F52" s="169"/>
      <c r="G52" s="146"/>
      <c r="H52" s="26">
        <v>86100</v>
      </c>
      <c r="I52" s="25" t="s">
        <v>171</v>
      </c>
      <c r="J52" s="26" t="s">
        <v>215</v>
      </c>
      <c r="K52" s="19">
        <v>116000</v>
      </c>
    </row>
    <row r="53" spans="4:11" s="24" customFormat="1" ht="31.5" customHeight="1" x14ac:dyDescent="0.2">
      <c r="D53" s="148"/>
      <c r="E53" s="172"/>
      <c r="F53" s="169"/>
      <c r="G53" s="146"/>
      <c r="H53" s="26">
        <v>43110</v>
      </c>
      <c r="I53" s="25" t="s">
        <v>130</v>
      </c>
      <c r="J53" s="26" t="s">
        <v>216</v>
      </c>
      <c r="K53" s="19">
        <v>10920</v>
      </c>
    </row>
    <row r="54" spans="4:11" s="24" customFormat="1" ht="31.5" customHeight="1" x14ac:dyDescent="0.2">
      <c r="D54" s="148"/>
      <c r="E54" s="172"/>
      <c r="F54" s="169"/>
      <c r="G54" s="146"/>
      <c r="H54" s="26">
        <v>43120</v>
      </c>
      <c r="I54" s="25" t="s">
        <v>16</v>
      </c>
      <c r="J54" s="26" t="s">
        <v>216</v>
      </c>
      <c r="K54" s="53">
        <v>93200</v>
      </c>
    </row>
    <row r="55" spans="4:11" s="24" customFormat="1" ht="31.5" customHeight="1" x14ac:dyDescent="0.2">
      <c r="D55" s="149"/>
      <c r="E55" s="173"/>
      <c r="F55" s="169"/>
      <c r="G55" s="146"/>
      <c r="H55" s="26">
        <v>43700</v>
      </c>
      <c r="I55" s="25" t="s">
        <v>166</v>
      </c>
      <c r="J55" s="26" t="s">
        <v>216</v>
      </c>
      <c r="K55" s="19">
        <v>13700</v>
      </c>
    </row>
    <row r="56" spans="4:11" ht="31.5" customHeight="1" x14ac:dyDescent="0.2">
      <c r="D56" s="174" t="s">
        <v>196</v>
      </c>
      <c r="E56" s="174"/>
      <c r="F56" s="174"/>
      <c r="G56" s="174"/>
      <c r="H56" s="174"/>
      <c r="I56" s="174"/>
      <c r="J56" s="65"/>
      <c r="K56" s="64">
        <f>SUM(K5:K55)</f>
        <v>17621231</v>
      </c>
    </row>
    <row r="57" spans="4:11" ht="31.5" customHeight="1" x14ac:dyDescent="0.2"/>
    <row r="58" spans="4:11" ht="31.5" customHeight="1" x14ac:dyDescent="0.2"/>
    <row r="59" spans="4:11" ht="31.5" customHeight="1" x14ac:dyDescent="0.2"/>
    <row r="60" spans="4:11" ht="31.5" customHeight="1" x14ac:dyDescent="0.2"/>
    <row r="61" spans="4:11" ht="31.5" customHeight="1" x14ac:dyDescent="0.2"/>
    <row r="62" spans="4:11" ht="31.5" customHeight="1" x14ac:dyDescent="0.2"/>
    <row r="63" spans="4:11" ht="31.5" customHeight="1" x14ac:dyDescent="0.2"/>
    <row r="64" spans="4:11" ht="31.5" customHeight="1" x14ac:dyDescent="0.2"/>
    <row r="65" ht="31.5" customHeight="1" x14ac:dyDescent="0.2"/>
    <row r="66" ht="31.5" customHeight="1" x14ac:dyDescent="0.2"/>
    <row r="67" ht="31.5" customHeight="1" x14ac:dyDescent="0.2"/>
    <row r="68" ht="31.5" customHeight="1" x14ac:dyDescent="0.2"/>
    <row r="69" ht="31.5" customHeight="1" x14ac:dyDescent="0.2"/>
    <row r="70" ht="31.5" customHeight="1" x14ac:dyDescent="0.2"/>
    <row r="71" ht="31.5" customHeight="1" x14ac:dyDescent="0.2"/>
    <row r="72" ht="31.5" customHeight="1" x14ac:dyDescent="0.2"/>
    <row r="73" ht="31.5" customHeight="1" x14ac:dyDescent="0.2"/>
    <row r="74" ht="31.5" customHeight="1" x14ac:dyDescent="0.2"/>
    <row r="75" ht="31.5" customHeight="1" x14ac:dyDescent="0.2"/>
    <row r="76" ht="31.5" customHeight="1" x14ac:dyDescent="0.2"/>
    <row r="77" ht="31.5" customHeight="1" x14ac:dyDescent="0.2"/>
    <row r="78" ht="31.5" customHeight="1" x14ac:dyDescent="0.2"/>
    <row r="79" ht="31.5" customHeight="1" x14ac:dyDescent="0.2"/>
    <row r="80" ht="31.5" customHeight="1" x14ac:dyDescent="0.2"/>
    <row r="81" ht="31.5" customHeight="1" x14ac:dyDescent="0.2"/>
    <row r="82" ht="31.5" customHeight="1" x14ac:dyDescent="0.2"/>
    <row r="83" ht="31.5" customHeight="1" x14ac:dyDescent="0.2"/>
    <row r="84" ht="31.5" customHeight="1" x14ac:dyDescent="0.2"/>
    <row r="85" ht="31.5" customHeight="1" x14ac:dyDescent="0.2"/>
    <row r="86" ht="31.5" customHeight="1" x14ac:dyDescent="0.2"/>
    <row r="87" ht="31.5" customHeight="1" x14ac:dyDescent="0.2"/>
    <row r="88" ht="31.5" customHeight="1" x14ac:dyDescent="0.2"/>
    <row r="89" ht="31.5" customHeight="1" x14ac:dyDescent="0.2"/>
    <row r="90" ht="31.5" customHeight="1" x14ac:dyDescent="0.2"/>
    <row r="91" ht="31.5" customHeight="1" x14ac:dyDescent="0.2"/>
    <row r="92" ht="31.5" customHeight="1" x14ac:dyDescent="0.2"/>
    <row r="93" ht="31.5" customHeight="1" x14ac:dyDescent="0.2"/>
    <row r="94" ht="31.5" customHeight="1" x14ac:dyDescent="0.2"/>
    <row r="95" ht="31.5" customHeight="1" x14ac:dyDescent="0.2"/>
    <row r="96" ht="31.5" customHeight="1" x14ac:dyDescent="0.2"/>
    <row r="97" ht="31.5" customHeight="1" x14ac:dyDescent="0.2"/>
    <row r="98" ht="31.5" customHeight="1" x14ac:dyDescent="0.2"/>
    <row r="99" ht="31.5" customHeight="1" x14ac:dyDescent="0.2"/>
    <row r="100" ht="31.5" customHeight="1" x14ac:dyDescent="0.2"/>
    <row r="101" ht="31.5" customHeight="1" x14ac:dyDescent="0.2"/>
    <row r="102" ht="31.5" customHeight="1" x14ac:dyDescent="0.2"/>
    <row r="103" ht="31.5" customHeight="1" x14ac:dyDescent="0.2"/>
    <row r="104" ht="31.5" customHeight="1" x14ac:dyDescent="0.2"/>
    <row r="105" ht="31.5" customHeight="1" x14ac:dyDescent="0.2"/>
    <row r="106" ht="31.5" customHeight="1" x14ac:dyDescent="0.2"/>
    <row r="107" ht="31.5" customHeight="1" x14ac:dyDescent="0.2"/>
    <row r="108" ht="31.5" customHeight="1" x14ac:dyDescent="0.2"/>
    <row r="109" ht="31.5" customHeight="1" x14ac:dyDescent="0.2"/>
    <row r="110" ht="31.5" customHeight="1" x14ac:dyDescent="0.2"/>
    <row r="111" ht="31.5" customHeight="1" x14ac:dyDescent="0.2"/>
    <row r="112" ht="31.5" customHeight="1" x14ac:dyDescent="0.2"/>
    <row r="113" ht="31.5" customHeight="1" x14ac:dyDescent="0.2"/>
    <row r="114" ht="31.5" customHeight="1" x14ac:dyDescent="0.2"/>
    <row r="115" ht="31.5" customHeight="1" x14ac:dyDescent="0.2"/>
    <row r="116" ht="31.5" customHeight="1" x14ac:dyDescent="0.2"/>
    <row r="117" ht="31.5" customHeight="1" x14ac:dyDescent="0.2"/>
    <row r="118" ht="31.5" customHeight="1" x14ac:dyDescent="0.2"/>
    <row r="119" ht="31.5" customHeight="1" x14ac:dyDescent="0.2"/>
    <row r="120" ht="31.5" customHeight="1" x14ac:dyDescent="0.2"/>
    <row r="121" ht="31.5" customHeight="1" x14ac:dyDescent="0.2"/>
    <row r="122" ht="31.5" customHeight="1" x14ac:dyDescent="0.2"/>
    <row r="123" ht="31.5" customHeight="1" x14ac:dyDescent="0.2"/>
    <row r="124" ht="31.5" customHeight="1" x14ac:dyDescent="0.2"/>
    <row r="125" ht="31.5" customHeight="1" x14ac:dyDescent="0.2"/>
    <row r="126" ht="31.5" customHeight="1" x14ac:dyDescent="0.2"/>
    <row r="127" ht="31.5" customHeight="1" x14ac:dyDescent="0.2"/>
    <row r="128" ht="31.5" customHeight="1" x14ac:dyDescent="0.2"/>
  </sheetData>
  <autoFilter ref="B4:K56" xr:uid="{00000000-0009-0000-0000-000004000000}"/>
  <mergeCells count="12">
    <mergeCell ref="D1:K1"/>
    <mergeCell ref="D2:K2"/>
    <mergeCell ref="D3:K3"/>
    <mergeCell ref="G15:G26"/>
    <mergeCell ref="G8:G14"/>
    <mergeCell ref="D56:I56"/>
    <mergeCell ref="D5:D55"/>
    <mergeCell ref="F5:F26"/>
    <mergeCell ref="G5:G7"/>
    <mergeCell ref="F27:F55"/>
    <mergeCell ref="G27:G55"/>
    <mergeCell ref="E5:E5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9"/>
  <sheetViews>
    <sheetView topLeftCell="D130" zoomScale="68" zoomScaleNormal="68" workbookViewId="0">
      <selection activeCell="G78" sqref="G78"/>
    </sheetView>
  </sheetViews>
  <sheetFormatPr baseColWidth="10" defaultRowHeight="31.5" customHeight="1" x14ac:dyDescent="0.2"/>
  <cols>
    <col min="1" max="3" width="0" style="14" hidden="1" customWidth="1"/>
    <col min="4" max="4" width="14" style="14" customWidth="1"/>
    <col min="5" max="5" width="32.42578125" style="14" customWidth="1"/>
    <col min="6" max="6" width="23.7109375" style="40" customWidth="1"/>
    <col min="7" max="7" width="33.7109375" style="14" customWidth="1"/>
    <col min="8" max="8" width="13.7109375" style="14" customWidth="1"/>
    <col min="9" max="10" width="41.5703125" style="47" customWidth="1"/>
    <col min="11" max="11" width="28.140625" style="47" customWidth="1"/>
    <col min="12" max="16384" width="11.42578125" style="14"/>
  </cols>
  <sheetData>
    <row r="1" spans="1:11" ht="31.5" customHeight="1" x14ac:dyDescent="0.2">
      <c r="D1" s="168"/>
      <c r="E1" s="168"/>
      <c r="F1" s="168"/>
      <c r="G1" s="168"/>
      <c r="H1" s="168"/>
      <c r="I1" s="168"/>
      <c r="J1" s="168"/>
      <c r="K1" s="168"/>
    </row>
    <row r="2" spans="1:11" ht="31.5" customHeight="1" x14ac:dyDescent="0.25">
      <c r="D2" s="166" t="s">
        <v>212</v>
      </c>
      <c r="E2" s="166"/>
      <c r="F2" s="166"/>
      <c r="G2" s="166"/>
      <c r="H2" s="166"/>
      <c r="I2" s="166"/>
      <c r="J2" s="166"/>
      <c r="K2" s="166"/>
    </row>
    <row r="3" spans="1:11" ht="31.5" customHeight="1" x14ac:dyDescent="0.25">
      <c r="D3" s="167" t="s">
        <v>202</v>
      </c>
      <c r="E3" s="167"/>
      <c r="F3" s="167"/>
      <c r="G3" s="167"/>
      <c r="H3" s="167"/>
      <c r="I3" s="167"/>
      <c r="J3" s="167"/>
      <c r="K3" s="167"/>
    </row>
    <row r="4" spans="1:11" ht="31.5" customHeight="1" x14ac:dyDescent="0.2">
      <c r="A4" s="54"/>
      <c r="B4" s="17" t="s">
        <v>0</v>
      </c>
      <c r="C4" s="17" t="s">
        <v>1</v>
      </c>
      <c r="D4" s="59" t="s">
        <v>175</v>
      </c>
      <c r="E4" s="67" t="s">
        <v>214</v>
      </c>
      <c r="F4" s="59" t="s">
        <v>203</v>
      </c>
      <c r="G4" s="59" t="s">
        <v>204</v>
      </c>
      <c r="H4" s="59" t="s">
        <v>127</v>
      </c>
      <c r="I4" s="59" t="s">
        <v>205</v>
      </c>
      <c r="J4" s="59" t="s">
        <v>213</v>
      </c>
      <c r="K4" s="59" t="s">
        <v>206</v>
      </c>
    </row>
    <row r="5" spans="1:11" s="24" customFormat="1" ht="31.5" customHeight="1" x14ac:dyDescent="0.2">
      <c r="A5" s="23"/>
      <c r="B5" s="23"/>
      <c r="C5" s="23"/>
      <c r="D5" s="143">
        <v>4</v>
      </c>
      <c r="E5" s="171" t="s">
        <v>220</v>
      </c>
      <c r="F5" s="146" t="s">
        <v>44</v>
      </c>
      <c r="G5" s="155" t="s">
        <v>265</v>
      </c>
      <c r="H5" s="26">
        <v>25220</v>
      </c>
      <c r="I5" s="25" t="s">
        <v>10</v>
      </c>
      <c r="J5" s="26" t="s">
        <v>215</v>
      </c>
      <c r="K5" s="19">
        <v>4359528</v>
      </c>
    </row>
    <row r="6" spans="1:11" s="24" customFormat="1" ht="31.5" customHeight="1" x14ac:dyDescent="0.2">
      <c r="A6" s="23"/>
      <c r="B6" s="23"/>
      <c r="C6" s="23"/>
      <c r="D6" s="144"/>
      <c r="E6" s="172"/>
      <c r="F6" s="146"/>
      <c r="G6" s="156"/>
      <c r="H6" s="26">
        <v>22110</v>
      </c>
      <c r="I6" s="25" t="s">
        <v>11</v>
      </c>
      <c r="J6" s="26" t="s">
        <v>215</v>
      </c>
      <c r="K6" s="19">
        <v>111600</v>
      </c>
    </row>
    <row r="7" spans="1:11" s="24" customFormat="1" ht="31.5" customHeight="1" x14ac:dyDescent="0.2">
      <c r="A7" s="23"/>
      <c r="B7" s="23"/>
      <c r="C7" s="23"/>
      <c r="D7" s="144"/>
      <c r="E7" s="172"/>
      <c r="F7" s="146"/>
      <c r="G7" s="156"/>
      <c r="H7" s="26">
        <v>22120</v>
      </c>
      <c r="I7" s="25" t="s">
        <v>46</v>
      </c>
      <c r="J7" s="26" t="s">
        <v>217</v>
      </c>
      <c r="K7" s="19">
        <v>600000</v>
      </c>
    </row>
    <row r="8" spans="1:11" s="24" customFormat="1" ht="31.5" customHeight="1" x14ac:dyDescent="0.2">
      <c r="A8" s="23"/>
      <c r="B8" s="23"/>
      <c r="C8" s="23"/>
      <c r="D8" s="144"/>
      <c r="E8" s="172"/>
      <c r="F8" s="146"/>
      <c r="G8" s="156"/>
      <c r="H8" s="26">
        <v>22210</v>
      </c>
      <c r="I8" s="25" t="s">
        <v>12</v>
      </c>
      <c r="J8" s="26" t="s">
        <v>215</v>
      </c>
      <c r="K8" s="19">
        <v>908208</v>
      </c>
    </row>
    <row r="9" spans="1:11" s="24" customFormat="1" ht="31.5" customHeight="1" x14ac:dyDescent="0.2">
      <c r="A9" s="23"/>
      <c r="B9" s="23"/>
      <c r="C9" s="23"/>
      <c r="D9" s="144"/>
      <c r="E9" s="172"/>
      <c r="F9" s="146"/>
      <c r="G9" s="156"/>
      <c r="H9" s="26">
        <v>22220</v>
      </c>
      <c r="I9" s="25" t="s">
        <v>160</v>
      </c>
      <c r="J9" s="26" t="s">
        <v>217</v>
      </c>
      <c r="K9" s="19">
        <v>420475</v>
      </c>
    </row>
    <row r="10" spans="1:11" s="24" customFormat="1" ht="31.5" customHeight="1" x14ac:dyDescent="0.2">
      <c r="A10" s="23"/>
      <c r="B10" s="23"/>
      <c r="C10" s="23"/>
      <c r="D10" s="144"/>
      <c r="E10" s="172"/>
      <c r="F10" s="146"/>
      <c r="G10" s="156"/>
      <c r="H10" s="26">
        <v>22500</v>
      </c>
      <c r="I10" s="25" t="s">
        <v>48</v>
      </c>
      <c r="J10" s="26" t="s">
        <v>215</v>
      </c>
      <c r="K10" s="19">
        <v>260500</v>
      </c>
    </row>
    <row r="11" spans="1:11" s="24" customFormat="1" ht="31.5" customHeight="1" x14ac:dyDescent="0.2">
      <c r="A11" s="23"/>
      <c r="B11" s="23"/>
      <c r="C11" s="23"/>
      <c r="D11" s="144"/>
      <c r="E11" s="172"/>
      <c r="F11" s="146"/>
      <c r="G11" s="156"/>
      <c r="H11" s="26">
        <v>22600</v>
      </c>
      <c r="I11" s="25" t="s">
        <v>28</v>
      </c>
      <c r="J11" s="26" t="s">
        <v>215</v>
      </c>
      <c r="K11" s="19">
        <v>50000</v>
      </c>
    </row>
    <row r="12" spans="1:11" s="24" customFormat="1" ht="31.5" customHeight="1" x14ac:dyDescent="0.2">
      <c r="A12" s="23"/>
      <c r="B12" s="23"/>
      <c r="C12" s="23"/>
      <c r="D12" s="144"/>
      <c r="E12" s="172"/>
      <c r="F12" s="146"/>
      <c r="G12" s="156"/>
      <c r="H12" s="26">
        <v>24120</v>
      </c>
      <c r="I12" s="25" t="s">
        <v>164</v>
      </c>
      <c r="J12" s="26" t="s">
        <v>215</v>
      </c>
      <c r="K12" s="19">
        <v>2000</v>
      </c>
    </row>
    <row r="13" spans="1:11" s="24" customFormat="1" ht="31.5" customHeight="1" x14ac:dyDescent="0.2">
      <c r="A13" s="23"/>
      <c r="B13" s="23"/>
      <c r="C13" s="23"/>
      <c r="D13" s="144"/>
      <c r="E13" s="172"/>
      <c r="F13" s="146"/>
      <c r="G13" s="156"/>
      <c r="H13" s="26">
        <v>25600</v>
      </c>
      <c r="I13" s="25" t="s">
        <v>14</v>
      </c>
      <c r="J13" s="26" t="s">
        <v>215</v>
      </c>
      <c r="K13" s="19">
        <v>187470</v>
      </c>
    </row>
    <row r="14" spans="1:11" s="24" customFormat="1" ht="31.5" customHeight="1" x14ac:dyDescent="0.2">
      <c r="A14" s="23"/>
      <c r="B14" s="23"/>
      <c r="C14" s="23"/>
      <c r="D14" s="144"/>
      <c r="E14" s="172"/>
      <c r="F14" s="146"/>
      <c r="G14" s="156"/>
      <c r="H14" s="26">
        <v>25700</v>
      </c>
      <c r="I14" s="25" t="s">
        <v>15</v>
      </c>
      <c r="J14" s="26" t="s">
        <v>215</v>
      </c>
      <c r="K14" s="19">
        <v>1171212</v>
      </c>
    </row>
    <row r="15" spans="1:11" s="24" customFormat="1" ht="31.5" customHeight="1" x14ac:dyDescent="0.2">
      <c r="A15" s="23"/>
      <c r="B15" s="23"/>
      <c r="C15" s="23"/>
      <c r="D15" s="144"/>
      <c r="E15" s="172"/>
      <c r="F15" s="146"/>
      <c r="G15" s="156"/>
      <c r="H15" s="26">
        <v>26300</v>
      </c>
      <c r="I15" s="25" t="s">
        <v>50</v>
      </c>
      <c r="J15" s="26" t="s">
        <v>215</v>
      </c>
      <c r="K15" s="19">
        <v>55000</v>
      </c>
    </row>
    <row r="16" spans="1:11" s="24" customFormat="1" ht="31.5" customHeight="1" x14ac:dyDescent="0.2">
      <c r="A16" s="23"/>
      <c r="B16" s="23"/>
      <c r="C16" s="23"/>
      <c r="D16" s="144"/>
      <c r="E16" s="172"/>
      <c r="F16" s="146"/>
      <c r="G16" s="156"/>
      <c r="H16" s="26">
        <v>26990</v>
      </c>
      <c r="I16" s="25" t="s">
        <v>51</v>
      </c>
      <c r="J16" s="26" t="s">
        <v>215</v>
      </c>
      <c r="K16" s="19">
        <v>40000</v>
      </c>
    </row>
    <row r="17" spans="1:11" s="24" customFormat="1" ht="31.5" customHeight="1" x14ac:dyDescent="0.2">
      <c r="A17" s="23"/>
      <c r="B17" s="23"/>
      <c r="C17" s="23"/>
      <c r="D17" s="144"/>
      <c r="E17" s="172"/>
      <c r="F17" s="146"/>
      <c r="G17" s="156"/>
      <c r="H17" s="26">
        <v>31120</v>
      </c>
      <c r="I17" s="25" t="s">
        <v>31</v>
      </c>
      <c r="J17" s="26" t="s">
        <v>215</v>
      </c>
      <c r="K17" s="19">
        <v>6000</v>
      </c>
    </row>
    <row r="18" spans="1:11" s="24" customFormat="1" ht="31.5" customHeight="1" x14ac:dyDescent="0.2">
      <c r="A18" s="23"/>
      <c r="B18" s="23"/>
      <c r="C18" s="23"/>
      <c r="D18" s="144"/>
      <c r="E18" s="172"/>
      <c r="F18" s="146"/>
      <c r="G18" s="156"/>
      <c r="H18" s="26">
        <v>33200</v>
      </c>
      <c r="I18" s="25" t="s">
        <v>165</v>
      </c>
      <c r="J18" s="26" t="s">
        <v>215</v>
      </c>
      <c r="K18" s="19">
        <v>3400</v>
      </c>
    </row>
    <row r="19" spans="1:11" s="24" customFormat="1" ht="31.5" customHeight="1" x14ac:dyDescent="0.2">
      <c r="A19" s="23"/>
      <c r="B19" s="23"/>
      <c r="C19" s="23"/>
      <c r="D19" s="144"/>
      <c r="E19" s="172"/>
      <c r="F19" s="146"/>
      <c r="G19" s="156"/>
      <c r="H19" s="26">
        <v>33300</v>
      </c>
      <c r="I19" s="25" t="s">
        <v>52</v>
      </c>
      <c r="J19" s="26" t="s">
        <v>215</v>
      </c>
      <c r="K19" s="19">
        <v>51710</v>
      </c>
    </row>
    <row r="20" spans="1:11" s="24" customFormat="1" ht="31.5" customHeight="1" x14ac:dyDescent="0.2">
      <c r="A20" s="23"/>
      <c r="B20" s="23"/>
      <c r="C20" s="23"/>
      <c r="D20" s="144"/>
      <c r="E20" s="172"/>
      <c r="F20" s="146"/>
      <c r="G20" s="156"/>
      <c r="H20" s="26">
        <v>33400</v>
      </c>
      <c r="I20" s="25" t="s">
        <v>53</v>
      </c>
      <c r="J20" s="26" t="s">
        <v>215</v>
      </c>
      <c r="K20" s="19">
        <v>14080</v>
      </c>
    </row>
    <row r="21" spans="1:11" s="24" customFormat="1" ht="31.5" customHeight="1" x14ac:dyDescent="0.2">
      <c r="A21" s="23"/>
      <c r="B21" s="23"/>
      <c r="C21" s="23"/>
      <c r="D21" s="144"/>
      <c r="E21" s="172"/>
      <c r="F21" s="146"/>
      <c r="G21" s="156"/>
      <c r="H21" s="26">
        <v>34110</v>
      </c>
      <c r="I21" s="25" t="s">
        <v>54</v>
      </c>
      <c r="J21" s="26" t="s">
        <v>215</v>
      </c>
      <c r="K21" s="19">
        <v>67514572</v>
      </c>
    </row>
    <row r="22" spans="1:11" s="24" customFormat="1" ht="31.5" customHeight="1" x14ac:dyDescent="0.2">
      <c r="A22" s="23"/>
      <c r="B22" s="23"/>
      <c r="C22" s="23"/>
      <c r="D22" s="144"/>
      <c r="E22" s="172"/>
      <c r="F22" s="146"/>
      <c r="G22" s="156"/>
      <c r="H22" s="26">
        <v>34500</v>
      </c>
      <c r="I22" s="25" t="s">
        <v>57</v>
      </c>
      <c r="J22" s="26" t="s">
        <v>215</v>
      </c>
      <c r="K22" s="19">
        <v>11646</v>
      </c>
    </row>
    <row r="23" spans="1:11" s="24" customFormat="1" ht="31.5" customHeight="1" x14ac:dyDescent="0.2">
      <c r="A23" s="23"/>
      <c r="B23" s="23"/>
      <c r="C23" s="23"/>
      <c r="D23" s="144"/>
      <c r="E23" s="172"/>
      <c r="F23" s="146"/>
      <c r="G23" s="156"/>
      <c r="H23" s="26">
        <v>39100</v>
      </c>
      <c r="I23" s="25" t="s">
        <v>60</v>
      </c>
      <c r="J23" s="26" t="s">
        <v>215</v>
      </c>
      <c r="K23" s="19">
        <v>15602</v>
      </c>
    </row>
    <row r="24" spans="1:11" s="24" customFormat="1" ht="31.5" customHeight="1" x14ac:dyDescent="0.2">
      <c r="A24" s="23"/>
      <c r="B24" s="23"/>
      <c r="C24" s="23"/>
      <c r="D24" s="144"/>
      <c r="E24" s="172"/>
      <c r="F24" s="146"/>
      <c r="G24" s="156"/>
      <c r="H24" s="26">
        <v>39990</v>
      </c>
      <c r="I24" s="25" t="s">
        <v>62</v>
      </c>
      <c r="J24" s="26" t="s">
        <v>215</v>
      </c>
      <c r="K24" s="19">
        <v>7750</v>
      </c>
    </row>
    <row r="25" spans="1:11" s="24" customFormat="1" ht="31.5" customHeight="1" x14ac:dyDescent="0.2">
      <c r="A25" s="23"/>
      <c r="B25" s="23"/>
      <c r="C25" s="23"/>
      <c r="D25" s="144"/>
      <c r="E25" s="172"/>
      <c r="F25" s="146"/>
      <c r="G25" s="156"/>
      <c r="H25" s="26">
        <v>43120</v>
      </c>
      <c r="I25" s="25" t="s">
        <v>16</v>
      </c>
      <c r="J25" s="26" t="s">
        <v>216</v>
      </c>
      <c r="K25" s="19">
        <v>7300</v>
      </c>
    </row>
    <row r="26" spans="1:11" s="24" customFormat="1" ht="31.5" customHeight="1" x14ac:dyDescent="0.2">
      <c r="A26" s="23"/>
      <c r="B26" s="23"/>
      <c r="C26" s="23"/>
      <c r="D26" s="144"/>
      <c r="E26" s="172"/>
      <c r="F26" s="146"/>
      <c r="G26" s="156"/>
      <c r="H26" s="26">
        <v>43500</v>
      </c>
      <c r="I26" s="25" t="s">
        <v>132</v>
      </c>
      <c r="J26" s="26" t="s">
        <v>216</v>
      </c>
      <c r="K26" s="19">
        <v>2800</v>
      </c>
    </row>
    <row r="27" spans="1:11" s="24" customFormat="1" ht="31.5" customHeight="1" x14ac:dyDescent="0.2">
      <c r="A27" s="23"/>
      <c r="B27" s="23"/>
      <c r="C27" s="23"/>
      <c r="D27" s="144"/>
      <c r="E27" s="172"/>
      <c r="F27" s="146"/>
      <c r="G27" s="157"/>
      <c r="H27" s="36">
        <v>43700</v>
      </c>
      <c r="I27" s="30" t="s">
        <v>166</v>
      </c>
      <c r="J27" s="26" t="s">
        <v>216</v>
      </c>
      <c r="K27" s="19">
        <v>28000</v>
      </c>
    </row>
    <row r="28" spans="1:11" s="24" customFormat="1" ht="31.5" customHeight="1" x14ac:dyDescent="0.2">
      <c r="A28" s="23"/>
      <c r="B28" s="23"/>
      <c r="C28" s="23"/>
      <c r="D28" s="144"/>
      <c r="E28" s="172"/>
      <c r="F28" s="146"/>
      <c r="G28" s="155" t="s">
        <v>200</v>
      </c>
      <c r="H28" s="26">
        <v>25220</v>
      </c>
      <c r="I28" s="25" t="s">
        <v>10</v>
      </c>
      <c r="J28" s="26" t="s">
        <v>215</v>
      </c>
      <c r="K28" s="19">
        <v>243264</v>
      </c>
    </row>
    <row r="29" spans="1:11" s="24" customFormat="1" ht="31.5" customHeight="1" x14ac:dyDescent="0.2">
      <c r="A29" s="23"/>
      <c r="B29" s="23"/>
      <c r="C29" s="23"/>
      <c r="D29" s="144"/>
      <c r="E29" s="172"/>
      <c r="F29" s="146"/>
      <c r="G29" s="156"/>
      <c r="H29" s="26">
        <v>22110</v>
      </c>
      <c r="I29" s="25" t="s">
        <v>11</v>
      </c>
      <c r="J29" s="26" t="s">
        <v>215</v>
      </c>
      <c r="K29" s="19">
        <v>22938</v>
      </c>
    </row>
    <row r="30" spans="1:11" s="24" customFormat="1" ht="31.5" customHeight="1" x14ac:dyDescent="0.2">
      <c r="A30" s="23"/>
      <c r="B30" s="23"/>
      <c r="C30" s="23"/>
      <c r="D30" s="144"/>
      <c r="E30" s="172"/>
      <c r="F30" s="146"/>
      <c r="G30" s="156"/>
      <c r="H30" s="26">
        <v>22120</v>
      </c>
      <c r="I30" s="25" t="s">
        <v>46</v>
      </c>
      <c r="J30" s="26" t="s">
        <v>215</v>
      </c>
      <c r="K30" s="19">
        <v>80000</v>
      </c>
    </row>
    <row r="31" spans="1:11" s="24" customFormat="1" ht="31.5" customHeight="1" x14ac:dyDescent="0.2">
      <c r="A31" s="23"/>
      <c r="B31" s="23"/>
      <c r="C31" s="23"/>
      <c r="D31" s="144"/>
      <c r="E31" s="172"/>
      <c r="F31" s="146"/>
      <c r="G31" s="156"/>
      <c r="H31" s="26">
        <v>22210</v>
      </c>
      <c r="I31" s="25" t="s">
        <v>12</v>
      </c>
      <c r="J31" s="26" t="s">
        <v>215</v>
      </c>
      <c r="K31" s="19">
        <v>23744</v>
      </c>
    </row>
    <row r="32" spans="1:11" s="24" customFormat="1" ht="31.5" customHeight="1" x14ac:dyDescent="0.2">
      <c r="A32" s="23"/>
      <c r="B32" s="23"/>
      <c r="C32" s="23"/>
      <c r="D32" s="144"/>
      <c r="E32" s="172"/>
      <c r="F32" s="146"/>
      <c r="G32" s="156"/>
      <c r="H32" s="26">
        <v>22220</v>
      </c>
      <c r="I32" s="25" t="s">
        <v>160</v>
      </c>
      <c r="J32" s="26" t="s">
        <v>215</v>
      </c>
      <c r="K32" s="19">
        <v>22080</v>
      </c>
    </row>
    <row r="33" spans="1:11" s="24" customFormat="1" ht="31.5" customHeight="1" x14ac:dyDescent="0.2">
      <c r="A33" s="23"/>
      <c r="B33" s="23"/>
      <c r="C33" s="23"/>
      <c r="D33" s="144"/>
      <c r="E33" s="172"/>
      <c r="F33" s="146"/>
      <c r="G33" s="156"/>
      <c r="H33" s="26">
        <v>22300</v>
      </c>
      <c r="I33" s="25" t="s">
        <v>47</v>
      </c>
      <c r="J33" s="26" t="s">
        <v>215</v>
      </c>
      <c r="K33" s="19">
        <v>300000</v>
      </c>
    </row>
    <row r="34" spans="1:11" s="24" customFormat="1" ht="31.5" customHeight="1" x14ac:dyDescent="0.2">
      <c r="A34" s="23"/>
      <c r="B34" s="23"/>
      <c r="C34" s="23"/>
      <c r="D34" s="144"/>
      <c r="E34" s="172"/>
      <c r="F34" s="146"/>
      <c r="G34" s="156"/>
      <c r="H34" s="26">
        <v>22500</v>
      </c>
      <c r="I34" s="25" t="s">
        <v>48</v>
      </c>
      <c r="J34" s="26" t="s">
        <v>215</v>
      </c>
      <c r="K34" s="19">
        <v>2042354</v>
      </c>
    </row>
    <row r="35" spans="1:11" s="24" customFormat="1" ht="31.5" customHeight="1" x14ac:dyDescent="0.2">
      <c r="A35" s="23"/>
      <c r="B35" s="23"/>
      <c r="C35" s="23"/>
      <c r="D35" s="144"/>
      <c r="E35" s="172"/>
      <c r="F35" s="146"/>
      <c r="G35" s="156"/>
      <c r="H35" s="26">
        <v>22600</v>
      </c>
      <c r="I35" s="25" t="s">
        <v>28</v>
      </c>
      <c r="J35" s="26" t="s">
        <v>215</v>
      </c>
      <c r="K35" s="19">
        <v>304800</v>
      </c>
    </row>
    <row r="36" spans="1:11" s="24" customFormat="1" ht="31.5" customHeight="1" x14ac:dyDescent="0.2">
      <c r="A36" s="23"/>
      <c r="B36" s="23"/>
      <c r="C36" s="23"/>
      <c r="D36" s="144"/>
      <c r="E36" s="172"/>
      <c r="F36" s="146"/>
      <c r="G36" s="156"/>
      <c r="H36" s="26">
        <v>23200</v>
      </c>
      <c r="I36" s="25" t="s">
        <v>49</v>
      </c>
      <c r="J36" s="26" t="s">
        <v>215</v>
      </c>
      <c r="K36" s="19">
        <v>371000</v>
      </c>
    </row>
    <row r="37" spans="1:11" s="24" customFormat="1" ht="31.5" customHeight="1" x14ac:dyDescent="0.2">
      <c r="A37" s="23"/>
      <c r="B37" s="23"/>
      <c r="C37" s="23"/>
      <c r="D37" s="144"/>
      <c r="E37" s="172"/>
      <c r="F37" s="146"/>
      <c r="G37" s="156"/>
      <c r="H37" s="26">
        <v>24120</v>
      </c>
      <c r="I37" s="25" t="s">
        <v>164</v>
      </c>
      <c r="J37" s="26" t="s">
        <v>215</v>
      </c>
      <c r="K37" s="19">
        <v>32000</v>
      </c>
    </row>
    <row r="38" spans="1:11" s="24" customFormat="1" ht="48.75" customHeight="1" x14ac:dyDescent="0.2">
      <c r="A38" s="23"/>
      <c r="B38" s="23"/>
      <c r="C38" s="23"/>
      <c r="D38" s="144"/>
      <c r="E38" s="172"/>
      <c r="F38" s="146"/>
      <c r="G38" s="156"/>
      <c r="H38" s="26">
        <v>24300</v>
      </c>
      <c r="I38" s="25" t="s">
        <v>167</v>
      </c>
      <c r="J38" s="26" t="s">
        <v>215</v>
      </c>
      <c r="K38" s="19">
        <v>2997861</v>
      </c>
    </row>
    <row r="39" spans="1:11" s="24" customFormat="1" ht="31.5" customHeight="1" x14ac:dyDescent="0.2">
      <c r="A39" s="23"/>
      <c r="B39" s="23"/>
      <c r="C39" s="23"/>
      <c r="D39" s="144"/>
      <c r="E39" s="172"/>
      <c r="F39" s="146"/>
      <c r="G39" s="156"/>
      <c r="H39" s="26">
        <v>25600</v>
      </c>
      <c r="I39" s="25" t="s">
        <v>14</v>
      </c>
      <c r="J39" s="26" t="s">
        <v>215</v>
      </c>
      <c r="K39" s="19">
        <v>1500</v>
      </c>
    </row>
    <row r="40" spans="1:11" s="24" customFormat="1" ht="31.5" customHeight="1" x14ac:dyDescent="0.2">
      <c r="A40" s="23"/>
      <c r="B40" s="23"/>
      <c r="C40" s="23"/>
      <c r="D40" s="144"/>
      <c r="E40" s="172"/>
      <c r="F40" s="146"/>
      <c r="G40" s="156"/>
      <c r="H40" s="26">
        <v>25700</v>
      </c>
      <c r="I40" s="25" t="s">
        <v>15</v>
      </c>
      <c r="J40" s="26" t="s">
        <v>215</v>
      </c>
      <c r="K40" s="19">
        <v>210000</v>
      </c>
    </row>
    <row r="41" spans="1:11" s="24" customFormat="1" ht="31.5" customHeight="1" x14ac:dyDescent="0.2">
      <c r="A41" s="23"/>
      <c r="B41" s="23"/>
      <c r="C41" s="23"/>
      <c r="D41" s="144"/>
      <c r="E41" s="172"/>
      <c r="F41" s="146"/>
      <c r="G41" s="156"/>
      <c r="H41" s="26">
        <v>26300</v>
      </c>
      <c r="I41" s="25" t="s">
        <v>50</v>
      </c>
      <c r="J41" s="26" t="s">
        <v>215</v>
      </c>
      <c r="K41" s="19">
        <v>375140</v>
      </c>
    </row>
    <row r="42" spans="1:11" s="24" customFormat="1" ht="31.5" customHeight="1" x14ac:dyDescent="0.2">
      <c r="A42" s="23"/>
      <c r="B42" s="23"/>
      <c r="C42" s="23"/>
      <c r="D42" s="144"/>
      <c r="E42" s="172"/>
      <c r="F42" s="146"/>
      <c r="G42" s="156"/>
      <c r="H42" s="26">
        <v>26990</v>
      </c>
      <c r="I42" s="25" t="s">
        <v>51</v>
      </c>
      <c r="J42" s="26" t="s">
        <v>215</v>
      </c>
      <c r="K42" s="19">
        <v>103100</v>
      </c>
    </row>
    <row r="43" spans="1:11" s="24" customFormat="1" ht="31.5" customHeight="1" x14ac:dyDescent="0.2">
      <c r="A43" s="23"/>
      <c r="B43" s="23"/>
      <c r="C43" s="23"/>
      <c r="D43" s="144"/>
      <c r="E43" s="172"/>
      <c r="F43" s="146"/>
      <c r="G43" s="156"/>
      <c r="H43" s="26">
        <v>31120</v>
      </c>
      <c r="I43" s="25" t="s">
        <v>31</v>
      </c>
      <c r="J43" s="26" t="s">
        <v>215</v>
      </c>
      <c r="K43" s="19">
        <v>1680</v>
      </c>
    </row>
    <row r="44" spans="1:11" s="24" customFormat="1" ht="31.5" customHeight="1" x14ac:dyDescent="0.2">
      <c r="A44" s="23"/>
      <c r="B44" s="23"/>
      <c r="C44" s="23"/>
      <c r="D44" s="144"/>
      <c r="E44" s="172"/>
      <c r="F44" s="146"/>
      <c r="G44" s="156"/>
      <c r="H44" s="26">
        <v>33300</v>
      </c>
      <c r="I44" s="25" t="s">
        <v>52</v>
      </c>
      <c r="J44" s="26" t="s">
        <v>215</v>
      </c>
      <c r="K44" s="19">
        <v>18150</v>
      </c>
    </row>
    <row r="45" spans="1:11" s="24" customFormat="1" ht="31.5" customHeight="1" x14ac:dyDescent="0.2">
      <c r="A45" s="23"/>
      <c r="B45" s="23"/>
      <c r="C45" s="23"/>
      <c r="D45" s="144"/>
      <c r="E45" s="172"/>
      <c r="F45" s="146"/>
      <c r="G45" s="156"/>
      <c r="H45" s="26">
        <v>33400</v>
      </c>
      <c r="I45" s="25" t="s">
        <v>53</v>
      </c>
      <c r="J45" s="26" t="s">
        <v>215</v>
      </c>
      <c r="K45" s="19">
        <v>15000</v>
      </c>
    </row>
    <row r="46" spans="1:11" s="24" customFormat="1" ht="31.5" customHeight="1" x14ac:dyDescent="0.2">
      <c r="A46" s="23"/>
      <c r="B46" s="23"/>
      <c r="C46" s="23"/>
      <c r="D46" s="144"/>
      <c r="E46" s="172"/>
      <c r="F46" s="146"/>
      <c r="G46" s="156"/>
      <c r="H46" s="26">
        <v>34110</v>
      </c>
      <c r="I46" s="25" t="s">
        <v>54</v>
      </c>
      <c r="J46" s="26" t="s">
        <v>215</v>
      </c>
      <c r="K46" s="19">
        <v>609890</v>
      </c>
    </row>
    <row r="47" spans="1:11" s="24" customFormat="1" ht="31.5" customHeight="1" x14ac:dyDescent="0.2">
      <c r="A47" s="23"/>
      <c r="B47" s="23"/>
      <c r="C47" s="23"/>
      <c r="D47" s="144"/>
      <c r="E47" s="172"/>
      <c r="F47" s="146"/>
      <c r="G47" s="156"/>
      <c r="H47" s="26">
        <v>34200</v>
      </c>
      <c r="I47" s="25" t="s">
        <v>55</v>
      </c>
      <c r="J47" s="26" t="s">
        <v>215</v>
      </c>
      <c r="K47" s="19">
        <v>460121</v>
      </c>
    </row>
    <row r="48" spans="1:11" s="24" customFormat="1" ht="31.5" customHeight="1" x14ac:dyDescent="0.2">
      <c r="A48" s="23"/>
      <c r="B48" s="23"/>
      <c r="C48" s="23"/>
      <c r="D48" s="144"/>
      <c r="E48" s="172"/>
      <c r="F48" s="146"/>
      <c r="G48" s="156"/>
      <c r="H48" s="26">
        <v>34300</v>
      </c>
      <c r="I48" s="25" t="s">
        <v>56</v>
      </c>
      <c r="J48" s="26" t="s">
        <v>215</v>
      </c>
      <c r="K48" s="19">
        <v>2991900</v>
      </c>
    </row>
    <row r="49" spans="1:11" s="24" customFormat="1" ht="31.5" customHeight="1" x14ac:dyDescent="0.2">
      <c r="A49" s="23"/>
      <c r="B49" s="23"/>
      <c r="C49" s="23"/>
      <c r="D49" s="144"/>
      <c r="E49" s="172"/>
      <c r="F49" s="146"/>
      <c r="G49" s="156"/>
      <c r="H49" s="26">
        <v>34400</v>
      </c>
      <c r="I49" s="25" t="s">
        <v>30</v>
      </c>
      <c r="J49" s="26" t="s">
        <v>215</v>
      </c>
      <c r="K49" s="19">
        <v>42720</v>
      </c>
    </row>
    <row r="50" spans="1:11" s="24" customFormat="1" ht="31.5" customHeight="1" x14ac:dyDescent="0.2">
      <c r="A50" s="23"/>
      <c r="B50" s="23"/>
      <c r="C50" s="23"/>
      <c r="D50" s="144"/>
      <c r="E50" s="172"/>
      <c r="F50" s="146"/>
      <c r="G50" s="156"/>
      <c r="H50" s="26">
        <v>34500</v>
      </c>
      <c r="I50" s="25" t="s">
        <v>57</v>
      </c>
      <c r="J50" s="26" t="s">
        <v>215</v>
      </c>
      <c r="K50" s="19">
        <v>2880</v>
      </c>
    </row>
    <row r="51" spans="1:11" s="24" customFormat="1" ht="31.5" customHeight="1" x14ac:dyDescent="0.2">
      <c r="A51" s="23"/>
      <c r="B51" s="23"/>
      <c r="C51" s="23"/>
      <c r="D51" s="144"/>
      <c r="E51" s="172"/>
      <c r="F51" s="146"/>
      <c r="G51" s="156"/>
      <c r="H51" s="26">
        <v>34600</v>
      </c>
      <c r="I51" s="25" t="s">
        <v>58</v>
      </c>
      <c r="J51" s="26" t="s">
        <v>215</v>
      </c>
      <c r="K51" s="19">
        <v>26627</v>
      </c>
    </row>
    <row r="52" spans="1:11" s="24" customFormat="1" ht="31.5" customHeight="1" x14ac:dyDescent="0.2">
      <c r="A52" s="23"/>
      <c r="B52" s="23"/>
      <c r="C52" s="23"/>
      <c r="D52" s="144"/>
      <c r="E52" s="172"/>
      <c r="F52" s="146"/>
      <c r="G52" s="156"/>
      <c r="H52" s="26">
        <v>34800</v>
      </c>
      <c r="I52" s="25" t="s">
        <v>59</v>
      </c>
      <c r="J52" s="26" t="s">
        <v>215</v>
      </c>
      <c r="K52" s="19">
        <v>2160</v>
      </c>
    </row>
    <row r="53" spans="1:11" s="24" customFormat="1" ht="31.5" customHeight="1" x14ac:dyDescent="0.2">
      <c r="A53" s="23"/>
      <c r="B53" s="23"/>
      <c r="C53" s="23"/>
      <c r="D53" s="144"/>
      <c r="E53" s="172"/>
      <c r="F53" s="146"/>
      <c r="G53" s="156"/>
      <c r="H53" s="26">
        <v>39100</v>
      </c>
      <c r="I53" s="25" t="s">
        <v>60</v>
      </c>
      <c r="J53" s="26" t="s">
        <v>215</v>
      </c>
      <c r="K53" s="19">
        <v>32426</v>
      </c>
    </row>
    <row r="54" spans="1:11" s="24" customFormat="1" ht="31.5" customHeight="1" x14ac:dyDescent="0.2">
      <c r="A54" s="23"/>
      <c r="B54" s="23"/>
      <c r="C54" s="23"/>
      <c r="D54" s="144"/>
      <c r="E54" s="172"/>
      <c r="F54" s="146"/>
      <c r="G54" s="156"/>
      <c r="H54" s="22">
        <v>39700</v>
      </c>
      <c r="I54" s="25" t="s">
        <v>136</v>
      </c>
      <c r="J54" s="26" t="s">
        <v>215</v>
      </c>
      <c r="K54" s="19">
        <v>19411</v>
      </c>
    </row>
    <row r="55" spans="1:11" s="24" customFormat="1" ht="31.5" customHeight="1" x14ac:dyDescent="0.2">
      <c r="A55" s="23"/>
      <c r="B55" s="23"/>
      <c r="C55" s="23"/>
      <c r="D55" s="144"/>
      <c r="E55" s="172"/>
      <c r="F55" s="146"/>
      <c r="G55" s="156"/>
      <c r="H55" s="26">
        <v>39800</v>
      </c>
      <c r="I55" s="25" t="s">
        <v>61</v>
      </c>
      <c r="J55" s="26" t="s">
        <v>215</v>
      </c>
      <c r="K55" s="19">
        <v>3821148</v>
      </c>
    </row>
    <row r="56" spans="1:11" s="24" customFormat="1" ht="31.5" customHeight="1" x14ac:dyDescent="0.2">
      <c r="A56" s="23"/>
      <c r="B56" s="23"/>
      <c r="C56" s="23"/>
      <c r="D56" s="144"/>
      <c r="E56" s="172"/>
      <c r="F56" s="146"/>
      <c r="G56" s="156"/>
      <c r="H56" s="26">
        <v>39990</v>
      </c>
      <c r="I56" s="25" t="s">
        <v>62</v>
      </c>
      <c r="J56" s="26" t="s">
        <v>215</v>
      </c>
      <c r="K56" s="19">
        <v>56560</v>
      </c>
    </row>
    <row r="57" spans="1:11" s="24" customFormat="1" ht="31.5" customHeight="1" x14ac:dyDescent="0.2">
      <c r="A57" s="23"/>
      <c r="B57" s="23"/>
      <c r="C57" s="23"/>
      <c r="D57" s="144"/>
      <c r="E57" s="172"/>
      <c r="F57" s="146"/>
      <c r="G57" s="156"/>
      <c r="H57" s="26">
        <v>21100</v>
      </c>
      <c r="I57" s="25" t="s">
        <v>63</v>
      </c>
      <c r="J57" s="26" t="s">
        <v>215</v>
      </c>
      <c r="K57" s="19">
        <v>6000</v>
      </c>
    </row>
    <row r="58" spans="1:11" s="24" customFormat="1" ht="31.5" customHeight="1" x14ac:dyDescent="0.2">
      <c r="A58" s="23"/>
      <c r="B58" s="23"/>
      <c r="C58" s="23"/>
      <c r="D58" s="144"/>
      <c r="E58" s="172"/>
      <c r="F58" s="146"/>
      <c r="G58" s="156"/>
      <c r="H58" s="26">
        <v>43110</v>
      </c>
      <c r="I58" s="25" t="s">
        <v>130</v>
      </c>
      <c r="J58" s="26" t="s">
        <v>216</v>
      </c>
      <c r="K58" s="19">
        <v>4000</v>
      </c>
    </row>
    <row r="59" spans="1:11" s="24" customFormat="1" ht="31.5" customHeight="1" x14ac:dyDescent="0.2">
      <c r="A59" s="23"/>
      <c r="B59" s="23"/>
      <c r="C59" s="23"/>
      <c r="D59" s="144"/>
      <c r="E59" s="172"/>
      <c r="F59" s="146"/>
      <c r="G59" s="156"/>
      <c r="H59" s="26">
        <v>43120</v>
      </c>
      <c r="I59" s="25" t="s">
        <v>16</v>
      </c>
      <c r="J59" s="26" t="s">
        <v>216</v>
      </c>
      <c r="K59" s="19">
        <v>15000</v>
      </c>
    </row>
    <row r="60" spans="1:11" s="24" customFormat="1" ht="31.5" customHeight="1" x14ac:dyDescent="0.2">
      <c r="A60" s="23"/>
      <c r="B60" s="23"/>
      <c r="C60" s="23"/>
      <c r="D60" s="144"/>
      <c r="E60" s="172"/>
      <c r="F60" s="146"/>
      <c r="G60" s="157"/>
      <c r="H60" s="26">
        <v>43700</v>
      </c>
      <c r="I60" s="25" t="s">
        <v>166</v>
      </c>
      <c r="J60" s="26" t="s">
        <v>216</v>
      </c>
      <c r="K60" s="19">
        <v>39090</v>
      </c>
    </row>
    <row r="61" spans="1:11" s="24" customFormat="1" ht="31.5" customHeight="1" x14ac:dyDescent="0.2">
      <c r="A61" s="23"/>
      <c r="B61" s="23"/>
      <c r="C61" s="23"/>
      <c r="D61" s="144"/>
      <c r="E61" s="172"/>
      <c r="F61" s="146" t="s">
        <v>218</v>
      </c>
      <c r="G61" s="155" t="s">
        <v>199</v>
      </c>
      <c r="H61" s="26">
        <v>25220</v>
      </c>
      <c r="I61" s="25" t="s">
        <v>10</v>
      </c>
      <c r="J61" s="26" t="s">
        <v>215</v>
      </c>
      <c r="K61" s="19">
        <v>382998</v>
      </c>
    </row>
    <row r="62" spans="1:11" s="24" customFormat="1" ht="31.5" customHeight="1" x14ac:dyDescent="0.2">
      <c r="A62" s="23"/>
      <c r="B62" s="23"/>
      <c r="C62" s="23"/>
      <c r="D62" s="144"/>
      <c r="E62" s="172"/>
      <c r="F62" s="146"/>
      <c r="G62" s="156"/>
      <c r="H62" s="26">
        <v>22110</v>
      </c>
      <c r="I62" s="25" t="s">
        <v>11</v>
      </c>
      <c r="J62" s="26" t="s">
        <v>215</v>
      </c>
      <c r="K62" s="19">
        <v>1600</v>
      </c>
    </row>
    <row r="63" spans="1:11" s="24" customFormat="1" ht="31.5" customHeight="1" x14ac:dyDescent="0.2">
      <c r="A63" s="23"/>
      <c r="B63" s="23"/>
      <c r="C63" s="23"/>
      <c r="D63" s="144"/>
      <c r="E63" s="172"/>
      <c r="F63" s="146"/>
      <c r="G63" s="156"/>
      <c r="H63" s="26">
        <v>22120</v>
      </c>
      <c r="I63" s="25" t="s">
        <v>46</v>
      </c>
      <c r="J63" s="26" t="s">
        <v>215</v>
      </c>
      <c r="K63" s="19">
        <v>16000</v>
      </c>
    </row>
    <row r="64" spans="1:11" s="24" customFormat="1" ht="31.5" customHeight="1" x14ac:dyDescent="0.2">
      <c r="A64" s="23"/>
      <c r="B64" s="23"/>
      <c r="C64" s="23"/>
      <c r="D64" s="144"/>
      <c r="E64" s="172"/>
      <c r="F64" s="146"/>
      <c r="G64" s="156"/>
      <c r="H64" s="26">
        <v>22210</v>
      </c>
      <c r="I64" s="25" t="s">
        <v>12</v>
      </c>
      <c r="J64" s="26" t="s">
        <v>215</v>
      </c>
      <c r="K64" s="19">
        <v>6678</v>
      </c>
    </row>
    <row r="65" spans="1:11" s="24" customFormat="1" ht="31.5" customHeight="1" x14ac:dyDescent="0.2">
      <c r="A65" s="23"/>
      <c r="B65" s="23"/>
      <c r="C65" s="23"/>
      <c r="D65" s="144"/>
      <c r="E65" s="172"/>
      <c r="F65" s="146"/>
      <c r="G65" s="156"/>
      <c r="H65" s="26">
        <v>22220</v>
      </c>
      <c r="I65" s="25" t="s">
        <v>160</v>
      </c>
      <c r="J65" s="26" t="s">
        <v>215</v>
      </c>
      <c r="K65" s="19">
        <v>20600</v>
      </c>
    </row>
    <row r="66" spans="1:11" s="24" customFormat="1" ht="31.5" customHeight="1" x14ac:dyDescent="0.2">
      <c r="A66" s="23"/>
      <c r="B66" s="23"/>
      <c r="C66" s="23"/>
      <c r="D66" s="144"/>
      <c r="E66" s="172"/>
      <c r="F66" s="146"/>
      <c r="G66" s="157"/>
      <c r="H66" s="26">
        <v>22600</v>
      </c>
      <c r="I66" s="25" t="s">
        <v>28</v>
      </c>
      <c r="J66" s="26" t="s">
        <v>215</v>
      </c>
      <c r="K66" s="19">
        <v>96000</v>
      </c>
    </row>
    <row r="67" spans="1:11" s="24" customFormat="1" ht="31.5" customHeight="1" x14ac:dyDescent="0.2">
      <c r="A67" s="23"/>
      <c r="B67" s="23"/>
      <c r="C67" s="23"/>
      <c r="D67" s="144"/>
      <c r="E67" s="172"/>
      <c r="F67" s="146"/>
      <c r="G67" s="155" t="s">
        <v>198</v>
      </c>
      <c r="H67" s="26">
        <v>25600</v>
      </c>
      <c r="I67" s="25" t="s">
        <v>14</v>
      </c>
      <c r="J67" s="26" t="s">
        <v>215</v>
      </c>
      <c r="K67" s="19">
        <v>14465</v>
      </c>
    </row>
    <row r="68" spans="1:11" s="24" customFormat="1" ht="31.5" customHeight="1" x14ac:dyDescent="0.2">
      <c r="A68" s="23"/>
      <c r="B68" s="23"/>
      <c r="C68" s="23"/>
      <c r="D68" s="144"/>
      <c r="E68" s="172"/>
      <c r="F68" s="146"/>
      <c r="G68" s="156"/>
      <c r="H68" s="26">
        <v>25700</v>
      </c>
      <c r="I68" s="25" t="s">
        <v>15</v>
      </c>
      <c r="J68" s="26" t="s">
        <v>215</v>
      </c>
      <c r="K68" s="19">
        <v>15988</v>
      </c>
    </row>
    <row r="69" spans="1:11" s="24" customFormat="1" ht="31.5" customHeight="1" x14ac:dyDescent="0.2">
      <c r="A69" s="23"/>
      <c r="B69" s="23"/>
      <c r="C69" s="23"/>
      <c r="D69" s="144"/>
      <c r="E69" s="172"/>
      <c r="F69" s="146"/>
      <c r="G69" s="156"/>
      <c r="H69" s="26">
        <v>26990</v>
      </c>
      <c r="I69" s="25" t="s">
        <v>51</v>
      </c>
      <c r="J69" s="26" t="s">
        <v>215</v>
      </c>
      <c r="K69" s="19">
        <v>9000</v>
      </c>
    </row>
    <row r="70" spans="1:11" s="24" customFormat="1" ht="49.5" customHeight="1" x14ac:dyDescent="0.2">
      <c r="A70" s="23"/>
      <c r="B70" s="23"/>
      <c r="C70" s="23"/>
      <c r="D70" s="144"/>
      <c r="E70" s="172"/>
      <c r="F70" s="146"/>
      <c r="G70" s="157"/>
      <c r="H70" s="26">
        <v>31120</v>
      </c>
      <c r="I70" s="25" t="s">
        <v>31</v>
      </c>
      <c r="J70" s="26" t="s">
        <v>215</v>
      </c>
      <c r="K70" s="19">
        <v>13200</v>
      </c>
    </row>
    <row r="71" spans="1:11" s="24" customFormat="1" ht="31.5" customHeight="1" x14ac:dyDescent="0.2">
      <c r="A71" s="23"/>
      <c r="B71" s="23"/>
      <c r="C71" s="23"/>
      <c r="D71" s="144"/>
      <c r="E71" s="172"/>
      <c r="F71" s="146"/>
      <c r="G71" s="155" t="s">
        <v>197</v>
      </c>
      <c r="H71" s="26">
        <v>33300</v>
      </c>
      <c r="I71" s="25" t="s">
        <v>52</v>
      </c>
      <c r="J71" s="26" t="s">
        <v>215</v>
      </c>
      <c r="K71" s="19">
        <v>7500</v>
      </c>
    </row>
    <row r="72" spans="1:11" s="24" customFormat="1" ht="31.5" customHeight="1" x14ac:dyDescent="0.2">
      <c r="A72" s="23"/>
      <c r="B72" s="23"/>
      <c r="C72" s="23"/>
      <c r="D72" s="144"/>
      <c r="E72" s="172"/>
      <c r="F72" s="146"/>
      <c r="G72" s="156"/>
      <c r="H72" s="26">
        <v>34200</v>
      </c>
      <c r="I72" s="25" t="s">
        <v>55</v>
      </c>
      <c r="J72" s="26" t="s">
        <v>215</v>
      </c>
      <c r="K72" s="19">
        <v>15500</v>
      </c>
    </row>
    <row r="73" spans="1:11" s="24" customFormat="1" ht="31.5" customHeight="1" x14ac:dyDescent="0.2">
      <c r="A73" s="23"/>
      <c r="B73" s="23"/>
      <c r="C73" s="23"/>
      <c r="D73" s="144"/>
      <c r="E73" s="172"/>
      <c r="F73" s="146"/>
      <c r="G73" s="156"/>
      <c r="H73" s="26">
        <v>39400</v>
      </c>
      <c r="I73" s="25" t="s">
        <v>135</v>
      </c>
      <c r="J73" s="26" t="s">
        <v>215</v>
      </c>
      <c r="K73" s="19">
        <v>1000</v>
      </c>
    </row>
    <row r="74" spans="1:11" s="24" customFormat="1" ht="31.5" customHeight="1" x14ac:dyDescent="0.2">
      <c r="A74" s="23"/>
      <c r="B74" s="23"/>
      <c r="C74" s="23"/>
      <c r="D74" s="144"/>
      <c r="E74" s="172"/>
      <c r="F74" s="146"/>
      <c r="G74" s="156"/>
      <c r="H74" s="26">
        <v>39990</v>
      </c>
      <c r="I74" s="25" t="s">
        <v>62</v>
      </c>
      <c r="J74" s="26" t="s">
        <v>215</v>
      </c>
      <c r="K74" s="19">
        <v>3750</v>
      </c>
    </row>
    <row r="75" spans="1:11" s="24" customFormat="1" ht="31.5" customHeight="1" x14ac:dyDescent="0.2">
      <c r="A75" s="23"/>
      <c r="B75" s="23"/>
      <c r="C75" s="23"/>
      <c r="D75" s="144"/>
      <c r="E75" s="172"/>
      <c r="F75" s="146"/>
      <c r="G75" s="156"/>
      <c r="H75" s="26">
        <v>43120</v>
      </c>
      <c r="I75" s="25" t="s">
        <v>16</v>
      </c>
      <c r="J75" s="26" t="s">
        <v>216</v>
      </c>
      <c r="K75" s="19">
        <v>14800</v>
      </c>
    </row>
    <row r="76" spans="1:11" s="24" customFormat="1" ht="31.5" customHeight="1" x14ac:dyDescent="0.2">
      <c r="A76" s="23"/>
      <c r="B76" s="23"/>
      <c r="C76" s="23"/>
      <c r="D76" s="144"/>
      <c r="E76" s="172"/>
      <c r="F76" s="146"/>
      <c r="G76" s="156"/>
      <c r="H76" s="36">
        <v>43500</v>
      </c>
      <c r="I76" s="30" t="s">
        <v>132</v>
      </c>
      <c r="J76" s="26" t="s">
        <v>216</v>
      </c>
      <c r="K76" s="19">
        <v>5600</v>
      </c>
    </row>
    <row r="77" spans="1:11" s="24" customFormat="1" ht="31.5" customHeight="1" x14ac:dyDescent="0.2">
      <c r="A77" s="23"/>
      <c r="B77" s="23"/>
      <c r="C77" s="23"/>
      <c r="D77" s="145"/>
      <c r="E77" s="173"/>
      <c r="F77" s="146"/>
      <c r="G77" s="157"/>
      <c r="H77" s="26">
        <v>43700</v>
      </c>
      <c r="I77" s="25" t="s">
        <v>166</v>
      </c>
      <c r="J77" s="26" t="s">
        <v>216</v>
      </c>
      <c r="K77" s="20">
        <v>17500</v>
      </c>
    </row>
    <row r="78" spans="1:11" s="24" customFormat="1" ht="141" customHeight="1" x14ac:dyDescent="0.2">
      <c r="A78" s="23"/>
      <c r="B78" s="23"/>
      <c r="C78" s="23"/>
      <c r="D78" s="106"/>
      <c r="E78" s="107"/>
      <c r="F78" s="105"/>
      <c r="G78" s="176" t="s">
        <v>68</v>
      </c>
      <c r="H78" s="26"/>
      <c r="I78" s="25"/>
      <c r="J78" s="26"/>
      <c r="K78" s="20"/>
    </row>
    <row r="79" spans="1:11" s="24" customFormat="1" ht="31.5" customHeight="1" x14ac:dyDescent="0.2">
      <c r="A79" s="23"/>
      <c r="B79" s="23"/>
      <c r="C79" s="23"/>
      <c r="D79" s="175" t="s">
        <v>195</v>
      </c>
      <c r="E79" s="175"/>
      <c r="F79" s="175"/>
      <c r="G79" s="175"/>
      <c r="H79" s="175"/>
      <c r="I79" s="175"/>
      <c r="J79" s="66"/>
      <c r="K79" s="62">
        <f>SUM(K5:K77)</f>
        <v>91765576</v>
      </c>
    </row>
  </sheetData>
  <autoFilter ref="A4:K79" xr:uid="{00000000-0009-0000-0000-000005000000}"/>
  <mergeCells count="14">
    <mergeCell ref="D79:I79"/>
    <mergeCell ref="D5:D77"/>
    <mergeCell ref="D1:K1"/>
    <mergeCell ref="D2:K2"/>
    <mergeCell ref="D3:K3"/>
    <mergeCell ref="F61:F77"/>
    <mergeCell ref="F28:F60"/>
    <mergeCell ref="F5:F27"/>
    <mergeCell ref="G61:G66"/>
    <mergeCell ref="G67:G70"/>
    <mergeCell ref="G71:G77"/>
    <mergeCell ref="G5:G27"/>
    <mergeCell ref="G28:G60"/>
    <mergeCell ref="E5:E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MATRIZ preliminar 2026</vt:lpstr>
      <vt:lpstr>OPERACIONES POA PARA PRESUPUEST</vt:lpstr>
      <vt:lpstr>PROG 1</vt:lpstr>
      <vt:lpstr>PROG 2</vt:lpstr>
      <vt:lpstr>PROG 410</vt:lpstr>
      <vt:lpstr>PROG 210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Personal</cp:lastModifiedBy>
  <cp:lastPrinted>2026-08-21T17:21:45Z</cp:lastPrinted>
  <dcterms:created xsi:type="dcterms:W3CDTF">2026-07-20T19:04:16Z</dcterms:created>
  <dcterms:modified xsi:type="dcterms:W3CDTF">2026-08-23T05:39:08Z</dcterms:modified>
</cp:coreProperties>
</file>