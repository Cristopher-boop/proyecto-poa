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Personal\Desktop\"/>
    </mc:Choice>
  </mc:AlternateContent>
  <xr:revisionPtr revIDLastSave="0" documentId="8_{EB4ECAC2-DB24-4D49-92F6-9F12BB127991}" xr6:coauthVersionLast="47" xr6:coauthVersionMax="47" xr10:uidLastSave="{00000000-0000-0000-0000-000000000000}"/>
  <bookViews>
    <workbookView xWindow="-120" yWindow="-120" windowWidth="19440" windowHeight="10320" tabRatio="813" firstSheet="2" activeTab="4" xr2:uid="{00000000-000D-0000-FFFF-FFFF00000000}"/>
  </bookViews>
  <sheets>
    <sheet name="Form 1.1" sheetId="40" state="hidden" r:id="rId1"/>
    <sheet name="Form 1.2" sheetId="41" state="hidden" r:id="rId2"/>
    <sheet name="ACCION DE CORTO PLAZO- RESPONSA" sheetId="50" r:id="rId3"/>
    <sheet name="OPERACIONES Y TAREAS" sheetId="48" r:id="rId4"/>
    <sheet name="FECHA PREVISTA DE INICIO Y FINA" sheetId="47" r:id="rId5"/>
    <sheet name="CUADRO 4" sheetId="49" state="hidden" r:id="rId6"/>
    <sheet name="Form 2.1" sheetId="42" state="hidden" r:id="rId7"/>
    <sheet name="Form 2.2" sheetId="43" state="hidden" r:id="rId8"/>
    <sheet name="Form 3" sheetId="44" state="hidden" r:id="rId9"/>
    <sheet name="Form 5" sheetId="6" state="hidden" r:id="rId10"/>
    <sheet name="Form 6" sheetId="8" state="hidden" r:id="rId11"/>
    <sheet name="Form 7" sheetId="7" state="hidden" r:id="rId12"/>
    <sheet name="Form 9" sheetId="37" state="hidden" r:id="rId13"/>
    <sheet name="Form 8" sheetId="36" state="hidden" r:id="rId14"/>
    <sheet name="Form 10" sheetId="32" state="hidden" r:id="rId15"/>
    <sheet name="Form 11" sheetId="39" state="hidden" r:id="rId16"/>
    <sheet name="Form 12" sheetId="38" state="hidden" r:id="rId17"/>
    <sheet name="Form 13" sheetId="4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s>
  <definedNames>
    <definedName name="_." localSheetId="1">'[1]Summary table'!#REF!</definedName>
    <definedName name="_." localSheetId="8">'[1]Summary table'!#REF!</definedName>
    <definedName name="_.">'[1]Summary table'!#REF!</definedName>
    <definedName name="_\0" localSheetId="1">#REF!</definedName>
    <definedName name="_\A" localSheetId="1">#REF!</definedName>
    <definedName name="_\b" localSheetId="1">[2]BaseMone!#REF!</definedName>
    <definedName name="_\c">'[3]PAG-28'!$CD$97</definedName>
    <definedName name="_\CORR" localSheetId="1">[4]BATERIA!#REF!</definedName>
    <definedName name="_\D" localSheetId="1">#REF!</definedName>
    <definedName name="_\E" localSheetId="1">#REF!</definedName>
    <definedName name="_\F" localSheetId="1">#REF!</definedName>
    <definedName name="_\G" localSheetId="1">#REF!</definedName>
    <definedName name="_\H" localSheetId="1">#REF!</definedName>
    <definedName name="_\I" localSheetId="1">#REF!</definedName>
    <definedName name="_\J" localSheetId="1">#REF!</definedName>
    <definedName name="_\K" localSheetId="1">#REF!</definedName>
    <definedName name="_\L" localSheetId="1">#REF!</definedName>
    <definedName name="_\m" localSheetId="1">#REF!</definedName>
    <definedName name="_\N" localSheetId="1">#REF!</definedName>
    <definedName name="_\O" localSheetId="1">#REF!</definedName>
    <definedName name="_\p" localSheetId="1">'[5]Prog-2011'!#REF!</definedName>
    <definedName name="_\Q" localSheetId="1">#REF!</definedName>
    <definedName name="_\R" localSheetId="1">#REF!</definedName>
    <definedName name="_\S" localSheetId="1">#REF!</definedName>
    <definedName name="_\T" localSheetId="1">[6]A!#REF!</definedName>
    <definedName name="_\U" localSheetId="1">#REF!</definedName>
    <definedName name="_\V" localSheetId="1">#REF!</definedName>
    <definedName name="_\W" localSheetId="1">#REF!</definedName>
    <definedName name="_\X" localSheetId="1">#REF!</definedName>
    <definedName name="_\Y" localSheetId="1">#REF!</definedName>
    <definedName name="_\Z" localSheetId="1">[6]A!#REF!</definedName>
    <definedName name="__\0" localSheetId="14">#REF!</definedName>
    <definedName name="__\A" localSheetId="14">#REF!</definedName>
    <definedName name="__\b" localSheetId="14">[2]BaseMone!#REF!</definedName>
    <definedName name="__\CORR" localSheetId="14">[4]BATERIA!#REF!</definedName>
    <definedName name="__\D" localSheetId="14">#REF!</definedName>
    <definedName name="__\E" localSheetId="14">#REF!</definedName>
    <definedName name="__\F" localSheetId="14">#REF!</definedName>
    <definedName name="__\G" localSheetId="8">#REF!</definedName>
    <definedName name="__\H" localSheetId="8">#REF!</definedName>
    <definedName name="__\I" localSheetId="8">#REF!</definedName>
    <definedName name="__\J" localSheetId="8">#REF!</definedName>
    <definedName name="__\K" localSheetId="8">#REF!</definedName>
    <definedName name="__\L" localSheetId="8">#REF!</definedName>
    <definedName name="__\m" localSheetId="8">#REF!</definedName>
    <definedName name="__\N" localSheetId="8">#REF!</definedName>
    <definedName name="__\O" localSheetId="8">#REF!</definedName>
    <definedName name="__\p" localSheetId="8">'[5]Prog-2011'!#REF!</definedName>
    <definedName name="__\Q" localSheetId="14">#REF!</definedName>
    <definedName name="__\R" localSheetId="14">#REF!</definedName>
    <definedName name="__\S" localSheetId="14">#REF!</definedName>
    <definedName name="__\T" localSheetId="14">[6]A!#REF!</definedName>
    <definedName name="__\U" localSheetId="14">#REF!</definedName>
    <definedName name="__\V" localSheetId="14">#REF!</definedName>
    <definedName name="__\W" localSheetId="14">#REF!</definedName>
    <definedName name="__\X" localSheetId="8">#REF!</definedName>
    <definedName name="__\Y" localSheetId="8">#REF!</definedName>
    <definedName name="__\Z" localSheetId="8">[6]A!#REF!</definedName>
    <definedName name="___\0" localSheetId="8">#REF!</definedName>
    <definedName name="___\A" localSheetId="8">#REF!</definedName>
    <definedName name="___\A">#REF!</definedName>
    <definedName name="___\b" localSheetId="8">[2]BaseMone!#REF!</definedName>
    <definedName name="___\CORR" localSheetId="8">[4]BATERIA!#REF!</definedName>
    <definedName name="___\D" localSheetId="8">#REF!</definedName>
    <definedName name="___\E" localSheetId="8">#REF!</definedName>
    <definedName name="___\F" localSheetId="8">#REF!</definedName>
    <definedName name="___\G">#REF!</definedName>
    <definedName name="___\H">#REF!</definedName>
    <definedName name="___\I">#REF!</definedName>
    <definedName name="___\J">#REF!</definedName>
    <definedName name="___\K">#REF!</definedName>
    <definedName name="___\L">#REF!</definedName>
    <definedName name="___\m">#REF!</definedName>
    <definedName name="___\N">#REF!</definedName>
    <definedName name="___\O">#REF!</definedName>
    <definedName name="___\p">'[5]Prog-2011'!#REF!</definedName>
    <definedName name="___\Q" localSheetId="8">#REF!</definedName>
    <definedName name="___\R" localSheetId="8">#REF!</definedName>
    <definedName name="___\S" localSheetId="8">#REF!</definedName>
    <definedName name="___\T" localSheetId="8">[6]A!#REF!</definedName>
    <definedName name="___\U" localSheetId="8">#REF!</definedName>
    <definedName name="___\V" localSheetId="8">#REF!</definedName>
    <definedName name="___\W" localSheetId="8">#REF!</definedName>
    <definedName name="___\X">#REF!</definedName>
    <definedName name="___\Y">#REF!</definedName>
    <definedName name="___\Z">[6]A!#REF!</definedName>
    <definedName name="____\0">#REF!</definedName>
    <definedName name="____\A">#REF!</definedName>
    <definedName name="____\b">[2]BaseMone!#REF!</definedName>
    <definedName name="____\CORR">[4]BATERIA!#REF!</definedName>
    <definedName name="____\D">#REF!</definedName>
    <definedName name="____\E">#REF!</definedName>
    <definedName name="____\F">#REF!</definedName>
    <definedName name="____\Q">#REF!</definedName>
    <definedName name="____\R">#REF!</definedName>
    <definedName name="____\S">#REF!</definedName>
    <definedName name="____\T">[6]A!#REF!</definedName>
    <definedName name="____\U">#REF!</definedName>
    <definedName name="____\V">#REF!</definedName>
    <definedName name="____\W">#REF!</definedName>
    <definedName name="_____\A">#REF!</definedName>
    <definedName name="______________DGS1" localSheetId="1">#REF!</definedName>
    <definedName name="______________DGS1" localSheetId="14">#REF!</definedName>
    <definedName name="______________DGS1" localSheetId="8">#REF!</definedName>
    <definedName name="______________DGS1">#REF!</definedName>
    <definedName name="______________EGS1" localSheetId="1">#REF!</definedName>
    <definedName name="______________EGS1" localSheetId="14">#REF!</definedName>
    <definedName name="______________EGS1" localSheetId="8">#REF!</definedName>
    <definedName name="______________EGS1">#REF!</definedName>
    <definedName name="______________EGS2" localSheetId="1">#REF!</definedName>
    <definedName name="______________EGS2" localSheetId="14">#REF!</definedName>
    <definedName name="______________EGS2" localSheetId="8">#REF!</definedName>
    <definedName name="______________EGS2">#REF!</definedName>
    <definedName name="______________EGS3" localSheetId="1">#REF!</definedName>
    <definedName name="______________EGS3" localSheetId="8">#REF!</definedName>
    <definedName name="______________EGS3">#REF!</definedName>
    <definedName name="_____________DGS1" localSheetId="1">#REF!</definedName>
    <definedName name="_____________DGS1" localSheetId="8">#REF!</definedName>
    <definedName name="_____________DGS1">#REF!</definedName>
    <definedName name="_____________EGS1" localSheetId="1">#REF!</definedName>
    <definedName name="_____________EGS1" localSheetId="8">#REF!</definedName>
    <definedName name="_____________EGS1">#REF!</definedName>
    <definedName name="_____________EGS2" localSheetId="1">#REF!</definedName>
    <definedName name="_____________EGS2" localSheetId="8">#REF!</definedName>
    <definedName name="_____________EGS2">#REF!</definedName>
    <definedName name="_____________EGS3" localSheetId="1">#REF!</definedName>
    <definedName name="_____________EGS3" localSheetId="8">#REF!</definedName>
    <definedName name="_____________EGS3">#REF!</definedName>
    <definedName name="____________GRA1">[7]EG!$V$208:$AJ$300</definedName>
    <definedName name="___________DGS1" localSheetId="1">#REF!</definedName>
    <definedName name="___________DGS1" localSheetId="14">#REF!</definedName>
    <definedName name="___________DGS1" localSheetId="8">#REF!</definedName>
    <definedName name="___________DGS1">#REF!</definedName>
    <definedName name="___________EGS1" localSheetId="1">#REF!</definedName>
    <definedName name="___________EGS1" localSheetId="14">#REF!</definedName>
    <definedName name="___________EGS1" localSheetId="8">#REF!</definedName>
    <definedName name="___________EGS1">#REF!</definedName>
    <definedName name="___________EGS2" localSheetId="1">#REF!</definedName>
    <definedName name="___________EGS2" localSheetId="14">#REF!</definedName>
    <definedName name="___________EGS2" localSheetId="8">#REF!</definedName>
    <definedName name="___________EGS2">#REF!</definedName>
    <definedName name="___________EGS3" localSheetId="1">#REF!</definedName>
    <definedName name="___________EGS3" localSheetId="8">#REF!</definedName>
    <definedName name="___________EGS3">#REF!</definedName>
    <definedName name="___________GRA1">[7]EG!$V$208:$AJ$300</definedName>
    <definedName name="___________mf1" localSheetId="1">#REF!</definedName>
    <definedName name="___________mf1" localSheetId="14">#REF!</definedName>
    <definedName name="___________mf1" localSheetId="8">#REF!</definedName>
    <definedName name="___________mf1">#REF!</definedName>
    <definedName name="__________DGS1" localSheetId="1">#REF!</definedName>
    <definedName name="__________DGS1" localSheetId="14">#REF!</definedName>
    <definedName name="__________DGS1" localSheetId="8">#REF!</definedName>
    <definedName name="__________DGS1">#REF!</definedName>
    <definedName name="__________EGS1" localSheetId="1">#REF!</definedName>
    <definedName name="__________EGS1" localSheetId="14">#REF!</definedName>
    <definedName name="__________EGS1" localSheetId="8">#REF!</definedName>
    <definedName name="__________EGS1">#REF!</definedName>
    <definedName name="__________EGS2" localSheetId="1">#REF!</definedName>
    <definedName name="__________EGS2" localSheetId="8">#REF!</definedName>
    <definedName name="__________EGS2">#REF!</definedName>
    <definedName name="__________EGS3" localSheetId="1">#REF!</definedName>
    <definedName name="__________EGS3" localSheetId="8">#REF!</definedName>
    <definedName name="__________EGS3">#REF!</definedName>
    <definedName name="__________GRA1">[8]EG!$V$208:$AJ$300</definedName>
    <definedName name="__________mf1" localSheetId="1">#REF!</definedName>
    <definedName name="__________mf1" localSheetId="14">#REF!</definedName>
    <definedName name="__________mf1" localSheetId="8">#REF!</definedName>
    <definedName name="__________mf1">#REF!</definedName>
    <definedName name="_________CRC1" localSheetId="1">#REF!</definedName>
    <definedName name="_________CRC1" localSheetId="14">#REF!</definedName>
    <definedName name="_________CRC1" localSheetId="8">#REF!</definedName>
    <definedName name="_________CRC1">#REF!</definedName>
    <definedName name="_________DGS1" localSheetId="1">#REF!</definedName>
    <definedName name="_________DGS1" localSheetId="14">#REF!</definedName>
    <definedName name="_________DGS1" localSheetId="8">#REF!</definedName>
    <definedName name="_________DGS1">#REF!</definedName>
    <definedName name="_________EGS1" localSheetId="1">#REF!</definedName>
    <definedName name="_________EGS1" localSheetId="8">#REF!</definedName>
    <definedName name="_________EGS1">#REF!</definedName>
    <definedName name="_________EGS2" localSheetId="1">#REF!</definedName>
    <definedName name="_________EGS2" localSheetId="8">#REF!</definedName>
    <definedName name="_________EGS2">#REF!</definedName>
    <definedName name="_________EGS3" localSheetId="1">#REF!</definedName>
    <definedName name="_________EGS3" localSheetId="8">#REF!</definedName>
    <definedName name="_________EGS3">#REF!</definedName>
    <definedName name="_________GRA1">[8]EG!$V$208:$AJ$300</definedName>
    <definedName name="_________LCS1" localSheetId="1">#REF!</definedName>
    <definedName name="_________LCS1" localSheetId="14">#REF!</definedName>
    <definedName name="_________LCS1" localSheetId="8">#REF!</definedName>
    <definedName name="_________LCS1">#REF!</definedName>
    <definedName name="_________mf1" localSheetId="1">#REF!</definedName>
    <definedName name="_________mf1" localSheetId="14">#REF!</definedName>
    <definedName name="_________mf1" localSheetId="8">#REF!</definedName>
    <definedName name="_________mf1">#REF!</definedName>
    <definedName name="_________R">#N/A</definedName>
    <definedName name="_________SRQ1" localSheetId="1">'[9]FLC Chimoré'!#REF!</definedName>
    <definedName name="_________SRQ1" localSheetId="14">'[9]FLC Chimoré'!#REF!</definedName>
    <definedName name="_________SRQ1" localSheetId="8">'[9]FLC Chimoré'!#REF!</definedName>
    <definedName name="_________SRQ1">'[9]FLC Chimoré'!#REF!</definedName>
    <definedName name="________CRC1" localSheetId="1">#REF!</definedName>
    <definedName name="________CRC1" localSheetId="14">#REF!</definedName>
    <definedName name="________CRC1" localSheetId="8">#REF!</definedName>
    <definedName name="________CRC1">#REF!</definedName>
    <definedName name="________DGS1" localSheetId="1">#REF!</definedName>
    <definedName name="________DGS1" localSheetId="14">#REF!</definedName>
    <definedName name="________DGS1" localSheetId="8">#REF!</definedName>
    <definedName name="________DGS1">#REF!</definedName>
    <definedName name="________EGS1" localSheetId="1">#REF!</definedName>
    <definedName name="________EGS1" localSheetId="14">#REF!</definedName>
    <definedName name="________EGS1" localSheetId="8">#REF!</definedName>
    <definedName name="________EGS1">#REF!</definedName>
    <definedName name="________EGS2" localSheetId="1">#REF!</definedName>
    <definedName name="________EGS2" localSheetId="8">#REF!</definedName>
    <definedName name="________EGS2">#REF!</definedName>
    <definedName name="________EGS3" localSheetId="1">#REF!</definedName>
    <definedName name="________EGS3" localSheetId="8">#REF!</definedName>
    <definedName name="________EGS3">#REF!</definedName>
    <definedName name="________GRA1">[7]EG!$V$208:$AJ$300</definedName>
    <definedName name="________LCS1" localSheetId="1">#REF!</definedName>
    <definedName name="________LCS1" localSheetId="14">#REF!</definedName>
    <definedName name="________LCS1" localSheetId="8">#REF!</definedName>
    <definedName name="________LCS1">#REF!</definedName>
    <definedName name="________mf1" localSheetId="1">#REF!</definedName>
    <definedName name="________mf1" localSheetId="14">#REF!</definedName>
    <definedName name="________mf1" localSheetId="8">#REF!</definedName>
    <definedName name="________mf1">#REF!</definedName>
    <definedName name="________R">#N/A</definedName>
    <definedName name="________SRQ1" localSheetId="1">'[9]FLC Chimoré'!#REF!</definedName>
    <definedName name="________SRQ1" localSheetId="14">'[9]FLC Chimoré'!#REF!</definedName>
    <definedName name="________SRQ1" localSheetId="8">'[9]FLC Chimoré'!#REF!</definedName>
    <definedName name="________SRQ1">'[9]FLC Chimoré'!#REF!</definedName>
    <definedName name="_______CRC1" localSheetId="1">#REF!</definedName>
    <definedName name="_______CRC1" localSheetId="14">#REF!</definedName>
    <definedName name="_______CRC1" localSheetId="8">#REF!</definedName>
    <definedName name="_______CRC1">#REF!</definedName>
    <definedName name="_______GRA1">[7]EG!$V$208:$AJ$300</definedName>
    <definedName name="_______LCS1" localSheetId="1">#REF!</definedName>
    <definedName name="_______LCS1" localSheetId="14">#REF!</definedName>
    <definedName name="_______LCS1" localSheetId="8">#REF!</definedName>
    <definedName name="_______LCS1">#REF!</definedName>
    <definedName name="_______mf1" localSheetId="1">#REF!</definedName>
    <definedName name="_______mf1" localSheetId="14">#REF!</definedName>
    <definedName name="_______mf1" localSheetId="8">#REF!</definedName>
    <definedName name="_______mf1">#REF!</definedName>
    <definedName name="_______R">#N/A</definedName>
    <definedName name="_______SRQ1" localSheetId="1">'[9]FLC Chimoré'!#REF!</definedName>
    <definedName name="_______SRQ1" localSheetId="14">'[9]FLC Chimoré'!#REF!</definedName>
    <definedName name="_______SRQ1" localSheetId="8">'[9]FLC Chimoré'!#REF!</definedName>
    <definedName name="_______SRQ1">'[9]FLC Chimoré'!#REF!</definedName>
    <definedName name="______CRC1" localSheetId="1">#REF!</definedName>
    <definedName name="______CRC1" localSheetId="14">#REF!</definedName>
    <definedName name="______CRC1" localSheetId="8">#REF!</definedName>
    <definedName name="______CRC1">#REF!</definedName>
    <definedName name="______DGS1" localSheetId="1">#REF!</definedName>
    <definedName name="______DGS1" localSheetId="14">#REF!</definedName>
    <definedName name="______DGS1" localSheetId="8">#REF!</definedName>
    <definedName name="______DGS1">#REF!</definedName>
    <definedName name="______EGS1" localSheetId="1">#REF!</definedName>
    <definedName name="______EGS1" localSheetId="14">#REF!</definedName>
    <definedName name="______EGS1" localSheetId="8">#REF!</definedName>
    <definedName name="______EGS1">#REF!</definedName>
    <definedName name="______EGS2" localSheetId="1">#REF!</definedName>
    <definedName name="______EGS2" localSheetId="8">#REF!</definedName>
    <definedName name="______EGS2">#REF!</definedName>
    <definedName name="______EGS3" localSheetId="1">#REF!</definedName>
    <definedName name="______EGS3" localSheetId="8">#REF!</definedName>
    <definedName name="______EGS3">#REF!</definedName>
    <definedName name="______GRA1">[7]EG!$V$208:$AJ$300</definedName>
    <definedName name="______LCS1" localSheetId="1">#REF!</definedName>
    <definedName name="______LCS1" localSheetId="14">#REF!</definedName>
    <definedName name="______LCS1" localSheetId="8">#REF!</definedName>
    <definedName name="______LCS1">#REF!</definedName>
    <definedName name="______mf1" localSheetId="1">#REF!</definedName>
    <definedName name="______mf1" localSheetId="14">#REF!</definedName>
    <definedName name="______mf1" localSheetId="8">#REF!</definedName>
    <definedName name="______mf1">#REF!</definedName>
    <definedName name="______R">#N/A</definedName>
    <definedName name="______SRQ1" localSheetId="1">'[9]FLC Chimoré'!#REF!</definedName>
    <definedName name="______SRQ1" localSheetId="14">'[9]FLC Chimoré'!#REF!</definedName>
    <definedName name="______SRQ1" localSheetId="8">'[9]FLC Chimoré'!#REF!</definedName>
    <definedName name="______SRQ1">'[9]FLC Chimoré'!#REF!</definedName>
    <definedName name="_____CRC1" localSheetId="1">#REF!</definedName>
    <definedName name="_____CRC1" localSheetId="14">#REF!</definedName>
    <definedName name="_____CRC1" localSheetId="8">#REF!</definedName>
    <definedName name="_____CRC1">#REF!</definedName>
    <definedName name="_____DGS1" localSheetId="1">#REF!</definedName>
    <definedName name="_____DGS1" localSheetId="14">#REF!</definedName>
    <definedName name="_____DGS1" localSheetId="8">#REF!</definedName>
    <definedName name="_____DGS1">#REF!</definedName>
    <definedName name="_____EGS1" localSheetId="1">#REF!</definedName>
    <definedName name="_____EGS1" localSheetId="14">#REF!</definedName>
    <definedName name="_____EGS1" localSheetId="8">#REF!</definedName>
    <definedName name="_____EGS1">#REF!</definedName>
    <definedName name="_____EGS2" localSheetId="1">#REF!</definedName>
    <definedName name="_____EGS2" localSheetId="8">#REF!</definedName>
    <definedName name="_____EGS2">#REF!</definedName>
    <definedName name="_____EGS3" localSheetId="1">#REF!</definedName>
    <definedName name="_____EGS3" localSheetId="8">#REF!</definedName>
    <definedName name="_____EGS3">#REF!</definedName>
    <definedName name="_____GRA1">[7]EG!$V$208:$AJ$300</definedName>
    <definedName name="_____LCS1" localSheetId="1">#REF!</definedName>
    <definedName name="_____LCS1" localSheetId="14">#REF!</definedName>
    <definedName name="_____LCS1" localSheetId="8">#REF!</definedName>
    <definedName name="_____LCS1">#REF!</definedName>
    <definedName name="_____mf1" localSheetId="1">#REF!</definedName>
    <definedName name="_____mf1" localSheetId="14">#REF!</definedName>
    <definedName name="_____mf1" localSheetId="8">#REF!</definedName>
    <definedName name="_____mf1">#REF!</definedName>
    <definedName name="_____R">#N/A</definedName>
    <definedName name="_____SRQ1" localSheetId="1">'[9]FLC Chimoré'!#REF!</definedName>
    <definedName name="_____SRQ1" localSheetId="14">'[9]FLC Chimoré'!#REF!</definedName>
    <definedName name="_____SRQ1" localSheetId="8">'[9]FLC Chimoré'!#REF!</definedName>
    <definedName name="_____SRQ1">'[9]FLC Chimoré'!#REF!</definedName>
    <definedName name="____CRC1" localSheetId="1">#REF!</definedName>
    <definedName name="____CRC1" localSheetId="14">#REF!</definedName>
    <definedName name="____CRC1" localSheetId="8">#REF!</definedName>
    <definedName name="____CRC1">#REF!</definedName>
    <definedName name="____DGS1" localSheetId="1">#REF!</definedName>
    <definedName name="____DGS1" localSheetId="14">#REF!</definedName>
    <definedName name="____DGS1" localSheetId="8">#REF!</definedName>
    <definedName name="____DGS1">#REF!</definedName>
    <definedName name="____EGS1" localSheetId="1">#REF!</definedName>
    <definedName name="____EGS1" localSheetId="14">#REF!</definedName>
    <definedName name="____EGS1" localSheetId="8">#REF!</definedName>
    <definedName name="____EGS1">#REF!</definedName>
    <definedName name="____EGS2" localSheetId="1">#REF!</definedName>
    <definedName name="____EGS2" localSheetId="8">#REF!</definedName>
    <definedName name="____EGS2">#REF!</definedName>
    <definedName name="____EGS3" localSheetId="1">#REF!</definedName>
    <definedName name="____EGS3" localSheetId="8">#REF!</definedName>
    <definedName name="____EGS3">#REF!</definedName>
    <definedName name="____GRA1">[7]EG!$V$208:$AJ$300</definedName>
    <definedName name="____LCS1" localSheetId="1">#REF!</definedName>
    <definedName name="____LCS1" localSheetId="14">#REF!</definedName>
    <definedName name="____LCS1" localSheetId="8">#REF!</definedName>
    <definedName name="____LCS1">#REF!</definedName>
    <definedName name="____mf1" localSheetId="1">#REF!</definedName>
    <definedName name="____mf1" localSheetId="14">#REF!</definedName>
    <definedName name="____mf1" localSheetId="8">#REF!</definedName>
    <definedName name="____mf1">#REF!</definedName>
    <definedName name="____R">#N/A</definedName>
    <definedName name="____SRQ1" localSheetId="1">'[9]FLC Chimoré'!#REF!</definedName>
    <definedName name="____SRQ1" localSheetId="14">'[9]FLC Chimoré'!#REF!</definedName>
    <definedName name="____SRQ1" localSheetId="8">'[9]FLC Chimoré'!#REF!</definedName>
    <definedName name="____SRQ1">'[9]FLC Chimoré'!#REF!</definedName>
    <definedName name="___CRC1" localSheetId="1">#REF!</definedName>
    <definedName name="___CRC1" localSheetId="14">#REF!</definedName>
    <definedName name="___CRC1" localSheetId="8">#REF!</definedName>
    <definedName name="___CRC1">#REF!</definedName>
    <definedName name="___DGS1" localSheetId="1">#REF!</definedName>
    <definedName name="___DGS1" localSheetId="14">#REF!</definedName>
    <definedName name="___DGS1" localSheetId="8">#REF!</definedName>
    <definedName name="___DGS1">#REF!</definedName>
    <definedName name="___EGS1" localSheetId="1">#REF!</definedName>
    <definedName name="___EGS1" localSheetId="14">#REF!</definedName>
    <definedName name="___EGS1" localSheetId="8">#REF!</definedName>
    <definedName name="___EGS1">#REF!</definedName>
    <definedName name="___EGS2" localSheetId="1">#REF!</definedName>
    <definedName name="___EGS2" localSheetId="8">#REF!</definedName>
    <definedName name="___EGS2">#REF!</definedName>
    <definedName name="___EGS3" localSheetId="1">#REF!</definedName>
    <definedName name="___EGS3" localSheetId="8">#REF!</definedName>
    <definedName name="___EGS3">#REF!</definedName>
    <definedName name="___GRA1">[7]EG!$V$208:$AJ$300</definedName>
    <definedName name="___LCS1" localSheetId="1">#REF!</definedName>
    <definedName name="___LCS1" localSheetId="14">#REF!</definedName>
    <definedName name="___LCS1" localSheetId="8">#REF!</definedName>
    <definedName name="___LCS1">#REF!</definedName>
    <definedName name="___mf1" localSheetId="1">#REF!</definedName>
    <definedName name="___mf1" localSheetId="14">#REF!</definedName>
    <definedName name="___mf1" localSheetId="8">#REF!</definedName>
    <definedName name="___mf1">#REF!</definedName>
    <definedName name="___R">#N/A</definedName>
    <definedName name="___SRQ1" localSheetId="1">'[9]FLC Chimoré'!#REF!</definedName>
    <definedName name="___SRQ1" localSheetId="14">'[9]FLC Chimoré'!#REF!</definedName>
    <definedName name="___SRQ1" localSheetId="8">'[9]FLC Chimoré'!#REF!</definedName>
    <definedName name="___SRQ1">'[9]FLC Chimoré'!#REF!</definedName>
    <definedName name="__123Graph_A" localSheetId="1" hidden="1">#REF!</definedName>
    <definedName name="__123Graph_A" localSheetId="14" hidden="1">#REF!</definedName>
    <definedName name="__123Graph_A" localSheetId="8" hidden="1">#REF!</definedName>
    <definedName name="__123Graph_A" hidden="1">#REF!</definedName>
    <definedName name="__123Graph_AActual" localSheetId="1" hidden="1">[10]Retroactivos!#REF!</definedName>
    <definedName name="__123Graph_AActual" localSheetId="14" hidden="1">[10]Retroactivos!#REF!</definedName>
    <definedName name="__123Graph_AActual" localSheetId="8" hidden="1">[10]Retroactivos!#REF!</definedName>
    <definedName name="__123Graph_AActual" hidden="1">[10]Retroactivos!#REF!</definedName>
    <definedName name="__123Graph_ABSYSASST" hidden="1">[11]interv!$C$37:$K$37</definedName>
    <definedName name="__123Graph_ACBASSETS" hidden="1">[11]interv!$C$34:$K$34</definedName>
    <definedName name="__123Graph_ACBAWKLY" localSheetId="1" hidden="1">[11]interv!#REF!</definedName>
    <definedName name="__123Graph_ACBAWKLY" localSheetId="14" hidden="1">[11]interv!#REF!</definedName>
    <definedName name="__123Graph_ACBAWKLY" localSheetId="8" hidden="1">[11]interv!#REF!</definedName>
    <definedName name="__123Graph_ACBAWKLY" hidden="1">[11]interv!#REF!</definedName>
    <definedName name="__123Graph_ACurrent" localSheetId="1" hidden="1">#REF!</definedName>
    <definedName name="__123Graph_ACurrent" localSheetId="14" hidden="1">#REF!</definedName>
    <definedName name="__123Graph_ACurrent" localSheetId="8" hidden="1">#REF!</definedName>
    <definedName name="__123Graph_ACurrent" hidden="1">#REF!</definedName>
    <definedName name="__123Graph_AERDOLLAR" hidden="1">'[12]ex rate'!$F$30:$AM$30</definedName>
    <definedName name="__123Graph_AERRUBLE" hidden="1">'[12]ex rate'!$F$31:$AM$31</definedName>
    <definedName name="__123Graph_AGDP" localSheetId="1" hidden="1">[13]AQ!#REF!</definedName>
    <definedName name="__123Graph_AGDP" localSheetId="14" hidden="1">[13]AQ!#REF!</definedName>
    <definedName name="__123Graph_AGDP" localSheetId="8" hidden="1">[13]AQ!#REF!</definedName>
    <definedName name="__123Graph_AGDP" hidden="1">[13]AQ!#REF!</definedName>
    <definedName name="__123Graph_AGraph1" localSheetId="1" hidden="1">[14]INFlevel!#REF!</definedName>
    <definedName name="__123Graph_AGraph1" localSheetId="14" hidden="1">[14]INFlevel!#REF!</definedName>
    <definedName name="__123Graph_AGraph1" localSheetId="8" hidden="1">[14]INFlevel!#REF!</definedName>
    <definedName name="__123Graph_AGraph1" hidden="1">[14]INFlevel!#REF!</definedName>
    <definedName name="__123Graph_AMIMPMAC" hidden="1">[15]monimp!$E$38:$N$38</definedName>
    <definedName name="__123Graph_AMONIMP" hidden="1">[15]monimp!$E$31:$N$31</definedName>
    <definedName name="__123Graph_AMSWKLY" localSheetId="1" hidden="1">[15]interv!#REF!</definedName>
    <definedName name="__123Graph_AMSWKLY" localSheetId="14" hidden="1">[15]interv!#REF!</definedName>
    <definedName name="__123Graph_AMSWKLY" localSheetId="8" hidden="1">[15]interv!#REF!</definedName>
    <definedName name="__123Graph_AMSWKLY" hidden="1">[15]interv!#REF!</definedName>
    <definedName name="__123Graph_AMULTVELO" hidden="1">[15]interv!$C$31:$K$31</definedName>
    <definedName name="__123Graph_AREALRATE" hidden="1">'[12]ex rate'!$F$36:$AU$36</definedName>
    <definedName name="__123Graph_AREER" localSheetId="1" hidden="1">[16]ER!#REF!</definedName>
    <definedName name="__123Graph_AREER" localSheetId="14" hidden="1">[16]ER!#REF!</definedName>
    <definedName name="__123Graph_AREER" localSheetId="8" hidden="1">[16]ER!#REF!</definedName>
    <definedName name="__123Graph_AREER" hidden="1">[16]ER!#REF!</definedName>
    <definedName name="__123Graph_ARER" localSheetId="1" hidden="1">#REF!</definedName>
    <definedName name="__123Graph_ARER" localSheetId="14" hidden="1">#REF!</definedName>
    <definedName name="__123Graph_ARER" localSheetId="8" hidden="1">#REF!</definedName>
    <definedName name="__123Graph_ARER" hidden="1">#REF!</definedName>
    <definedName name="__123Graph_ARESCOV" hidden="1">[15]fiscout!$J$146:$J$166</definedName>
    <definedName name="__123Graph_ARUBRATE" hidden="1">'[12]ex rate'!$K$37:$AN$37</definedName>
    <definedName name="__123Graph_ASEIGNOR" localSheetId="1" hidden="1">[17]seignior!#REF!</definedName>
    <definedName name="__123Graph_ASEIGNOR" localSheetId="14" hidden="1">[17]seignior!#REF!</definedName>
    <definedName name="__123Graph_ASEIGNOR" localSheetId="8" hidden="1">[17]seignior!#REF!</definedName>
    <definedName name="__123Graph_ASEIGNOR" hidden="1">[17]seignior!#REF!</definedName>
    <definedName name="__123Graph_AUSRATE" hidden="1">'[12]ex rate'!$K$36:$AN$36</definedName>
    <definedName name="__123Graph_B" localSheetId="1" hidden="1">#REF!</definedName>
    <definedName name="__123Graph_B" localSheetId="14" hidden="1">#REF!</definedName>
    <definedName name="__123Graph_B" localSheetId="8" hidden="1">#REF!</definedName>
    <definedName name="__123Graph_B" hidden="1">#REF!</definedName>
    <definedName name="__123Graph_BActual" localSheetId="1" hidden="1">[10]Retroactivos!#REF!</definedName>
    <definedName name="__123Graph_BActual" localSheetId="14" hidden="1">[10]Retroactivos!#REF!</definedName>
    <definedName name="__123Graph_BActual" localSheetId="8" hidden="1">[10]Retroactivos!#REF!</definedName>
    <definedName name="__123Graph_BActual" hidden="1">[10]Retroactivos!#REF!</definedName>
    <definedName name="__123Graph_BBSYSASST" hidden="1">[15]interv!$C$38:$K$38</definedName>
    <definedName name="__123Graph_BCBASSETS" hidden="1">[15]interv!$C$35:$K$35</definedName>
    <definedName name="__123Graph_BCBAWKLY" localSheetId="1" hidden="1">[15]interv!#REF!</definedName>
    <definedName name="__123Graph_BCBAWKLY" localSheetId="14" hidden="1">[15]interv!#REF!</definedName>
    <definedName name="__123Graph_BCBAWKLY" localSheetId="8" hidden="1">[15]interv!#REF!</definedName>
    <definedName name="__123Graph_BCBAWKLY" hidden="1">[15]interv!#REF!</definedName>
    <definedName name="__123Graph_BCurrent" localSheetId="1" hidden="1">#REF!</definedName>
    <definedName name="__123Graph_BCurrent" localSheetId="14" hidden="1">#REF!</definedName>
    <definedName name="__123Graph_BCurrent" localSheetId="8" hidden="1">#REF!</definedName>
    <definedName name="__123Graph_BCurrent" hidden="1">#REF!</definedName>
    <definedName name="__123Graph_BERDOLLAR" hidden="1">'[12]ex rate'!$F$36:$AM$36</definedName>
    <definedName name="__123Graph_BERRUBLE" hidden="1">'[12]ex rate'!$F$37:$AM$37</definedName>
    <definedName name="__123Graph_BGraph1" localSheetId="1" hidden="1">[14]INFlevel!#REF!</definedName>
    <definedName name="__123Graph_BGraph1" localSheetId="14" hidden="1">[14]INFlevel!#REF!</definedName>
    <definedName name="__123Graph_BGraph1" localSheetId="8" hidden="1">[14]INFlevel!#REF!</definedName>
    <definedName name="__123Graph_BGraph1" hidden="1">[14]INFlevel!#REF!</definedName>
    <definedName name="__123Graph_BMONIMP" hidden="1">[15]monimp!$E$38:$N$38</definedName>
    <definedName name="__123Graph_BMSWKLY" localSheetId="1" hidden="1">[15]interv!#REF!</definedName>
    <definedName name="__123Graph_BMSWKLY" localSheetId="14" hidden="1">[15]interv!#REF!</definedName>
    <definedName name="__123Graph_BMSWKLY" localSheetId="8" hidden="1">[15]interv!#REF!</definedName>
    <definedName name="__123Graph_BMSWKLY" hidden="1">[15]interv!#REF!</definedName>
    <definedName name="__123Graph_BMULTVELO" hidden="1">[15]interv!$C$32:$K$32</definedName>
    <definedName name="__123Graph_BREALRATE" hidden="1">'[12]ex rate'!$F$37:$AU$37</definedName>
    <definedName name="__123Graph_BREER" localSheetId="1" hidden="1">[16]ER!#REF!</definedName>
    <definedName name="__123Graph_BREER" localSheetId="14" hidden="1">[16]ER!#REF!</definedName>
    <definedName name="__123Graph_BREER" localSheetId="8" hidden="1">[16]ER!#REF!</definedName>
    <definedName name="__123Graph_BREER" hidden="1">[16]ER!#REF!</definedName>
    <definedName name="__123Graph_BRER" localSheetId="1" hidden="1">#REF!</definedName>
    <definedName name="__123Graph_BRER" localSheetId="14" hidden="1">#REF!</definedName>
    <definedName name="__123Graph_BRER" localSheetId="8" hidden="1">#REF!</definedName>
    <definedName name="__123Graph_BRER" hidden="1">#REF!</definedName>
    <definedName name="__123Graph_BRESCOV" hidden="1">[15]fiscout!$K$146:$K$166</definedName>
    <definedName name="__123Graph_BRUBRATE" hidden="1">'[12]ex rate'!$K$31:$AN$31</definedName>
    <definedName name="__123Graph_BSEIGNOR" localSheetId="1" hidden="1">[17]seignior!#REF!</definedName>
    <definedName name="__123Graph_BSEIGNOR" localSheetId="14" hidden="1">[17]seignior!#REF!</definedName>
    <definedName name="__123Graph_BSEIGNOR" localSheetId="8" hidden="1">[17]seignior!#REF!</definedName>
    <definedName name="__123Graph_BSEIGNOR" hidden="1">[17]seignior!#REF!</definedName>
    <definedName name="__123Graph_BUSRATE" hidden="1">'[12]ex rate'!$K$30:$AN$30</definedName>
    <definedName name="__123Graph_C" localSheetId="1" hidden="1">'[18]Eje 2004'!#REF!</definedName>
    <definedName name="__123Graph_C" localSheetId="14" hidden="1">'[18]Eje 2004'!#REF!</definedName>
    <definedName name="__123Graph_C" localSheetId="8" hidden="1">'[18]Eje 2004'!#REF!</definedName>
    <definedName name="__123Graph_C" hidden="1">'[18]Eje 2004'!#REF!</definedName>
    <definedName name="__123Graph_CActual" localSheetId="1" hidden="1">[10]Retroactivos!#REF!</definedName>
    <definedName name="__123Graph_CActual" localSheetId="14" hidden="1">[10]Retroactivos!#REF!</definedName>
    <definedName name="__123Graph_CActual" localSheetId="8" hidden="1">[10]Retroactivos!#REF!</definedName>
    <definedName name="__123Graph_CActual" hidden="1">[10]Retroactivos!#REF!</definedName>
    <definedName name="__123Graph_CBSYSASST" hidden="1">[15]interv!$C$39:$K$39</definedName>
    <definedName name="__123Graph_CCBAWKLY" localSheetId="1" hidden="1">[15]interv!#REF!</definedName>
    <definedName name="__123Graph_CCBAWKLY" localSheetId="14" hidden="1">[15]interv!#REF!</definedName>
    <definedName name="__123Graph_CCBAWKLY" localSheetId="8" hidden="1">[15]interv!#REF!</definedName>
    <definedName name="__123Graph_CCBAWKLY" hidden="1">[15]interv!#REF!</definedName>
    <definedName name="__123Graph_CCurrent" localSheetId="1" hidden="1">#REF!</definedName>
    <definedName name="__123Graph_CCurrent" localSheetId="14" hidden="1">#REF!</definedName>
    <definedName name="__123Graph_CCurrent" localSheetId="8" hidden="1">#REF!</definedName>
    <definedName name="__123Graph_CCurrent" hidden="1">#REF!</definedName>
    <definedName name="__123Graph_CMONIMP" localSheetId="1" hidden="1">#REF!</definedName>
    <definedName name="__123Graph_CMONIMP" localSheetId="14" hidden="1">#REF!</definedName>
    <definedName name="__123Graph_CMONIMP" localSheetId="8" hidden="1">#REF!</definedName>
    <definedName name="__123Graph_CMONIMP" hidden="1">#REF!</definedName>
    <definedName name="__123Graph_CMSWKLY" localSheetId="1" hidden="1">#REF!</definedName>
    <definedName name="__123Graph_CMSWKLY" localSheetId="14" hidden="1">#REF!</definedName>
    <definedName name="__123Graph_CMSWKLY" localSheetId="8" hidden="1">#REF!</definedName>
    <definedName name="__123Graph_CMSWKLY" hidden="1">#REF!</definedName>
    <definedName name="__123Graph_CREER" localSheetId="1" hidden="1">[16]ER!#REF!</definedName>
    <definedName name="__123Graph_CREER" localSheetId="14" hidden="1">[16]ER!#REF!</definedName>
    <definedName name="__123Graph_CREER" localSheetId="8" hidden="1">[16]ER!#REF!</definedName>
    <definedName name="__123Graph_CREER" hidden="1">[16]ER!#REF!</definedName>
    <definedName name="__123Graph_CRER" localSheetId="1" hidden="1">#REF!</definedName>
    <definedName name="__123Graph_CRER" localSheetId="14" hidden="1">#REF!</definedName>
    <definedName name="__123Graph_CRER" localSheetId="8" hidden="1">#REF!</definedName>
    <definedName name="__123Graph_CRER" hidden="1">#REF!</definedName>
    <definedName name="__123Graph_CRESCOV" hidden="1">[15]fiscout!$I$146:$I$166</definedName>
    <definedName name="__123Graph_D" localSheetId="1" hidden="1">#REF!</definedName>
    <definedName name="__123Graph_D" localSheetId="14" hidden="1">#REF!</definedName>
    <definedName name="__123Graph_D" localSheetId="8" hidden="1">#REF!</definedName>
    <definedName name="__123Graph_D" hidden="1">#REF!</definedName>
    <definedName name="__123Graph_DActual" localSheetId="1" hidden="1">[10]Retroactivos!#REF!</definedName>
    <definedName name="__123Graph_DActual" localSheetId="14" hidden="1">[10]Retroactivos!#REF!</definedName>
    <definedName name="__123Graph_DActual" localSheetId="8" hidden="1">[10]Retroactivos!#REF!</definedName>
    <definedName name="__123Graph_DActual" hidden="1">[10]Retroactivos!#REF!</definedName>
    <definedName name="__123Graph_DCurrent" localSheetId="1" hidden="1">'[19]Summary BOP'!#REF!</definedName>
    <definedName name="__123Graph_DCurrent" localSheetId="14" hidden="1">'[19]Summary BOP'!#REF!</definedName>
    <definedName name="__123Graph_DCurrent" localSheetId="8" hidden="1">'[19]Summary BOP'!#REF!</definedName>
    <definedName name="__123Graph_DCurrent" hidden="1">'[19]Summary BOP'!#REF!</definedName>
    <definedName name="__123Graph_DMIMPMAC" localSheetId="1" hidden="1">#REF!</definedName>
    <definedName name="__123Graph_DMIMPMAC" localSheetId="14" hidden="1">#REF!</definedName>
    <definedName name="__123Graph_DMIMPMAC" localSheetId="8" hidden="1">#REF!</definedName>
    <definedName name="__123Graph_DMIMPMAC" hidden="1">#REF!</definedName>
    <definedName name="__123Graph_DMONIMP" localSheetId="1" hidden="1">#REF!</definedName>
    <definedName name="__123Graph_DMONIMP" localSheetId="14" hidden="1">#REF!</definedName>
    <definedName name="__123Graph_DMONIMP" localSheetId="8" hidden="1">#REF!</definedName>
    <definedName name="__123Graph_DMONIMP" hidden="1">#REF!</definedName>
    <definedName name="__123Graph_E" localSheetId="1" hidden="1">#REF!</definedName>
    <definedName name="__123Graph_E" localSheetId="14" hidden="1">#REF!</definedName>
    <definedName name="__123Graph_E" localSheetId="8" hidden="1">#REF!</definedName>
    <definedName name="__123Graph_E" hidden="1">#REF!</definedName>
    <definedName name="__123Graph_EActual" localSheetId="1" hidden="1">[10]Retroactivos!#REF!</definedName>
    <definedName name="__123Graph_EActual" localSheetId="14" hidden="1">[10]Retroactivos!#REF!</definedName>
    <definedName name="__123Graph_EActual" localSheetId="8" hidden="1">[10]Retroactivos!#REF!</definedName>
    <definedName name="__123Graph_EActual" hidden="1">[10]Retroactivos!#REF!</definedName>
    <definedName name="__123Graph_ECurrent" localSheetId="1" hidden="1">'[19]Summary BOP'!#REF!</definedName>
    <definedName name="__123Graph_ECurrent" localSheetId="14" hidden="1">'[19]Summary BOP'!#REF!</definedName>
    <definedName name="__123Graph_ECurrent" localSheetId="8" hidden="1">'[19]Summary BOP'!#REF!</definedName>
    <definedName name="__123Graph_ECurrent" hidden="1">'[19]Summary BOP'!#REF!</definedName>
    <definedName name="__123Graph_EMIMPMAC" localSheetId="1" hidden="1">#REF!</definedName>
    <definedName name="__123Graph_EMIMPMAC" localSheetId="14" hidden="1">#REF!</definedName>
    <definedName name="__123Graph_EMIMPMAC" localSheetId="8" hidden="1">#REF!</definedName>
    <definedName name="__123Graph_EMIMPMAC" hidden="1">#REF!</definedName>
    <definedName name="__123Graph_EMONIMP" localSheetId="1" hidden="1">#REF!</definedName>
    <definedName name="__123Graph_EMONIMP" localSheetId="14" hidden="1">#REF!</definedName>
    <definedName name="__123Graph_EMONIMP" localSheetId="8" hidden="1">#REF!</definedName>
    <definedName name="__123Graph_EMONIMP" hidden="1">#REF!</definedName>
    <definedName name="__123Graph_F" localSheetId="1" hidden="1">#REF!</definedName>
    <definedName name="__123Graph_F" localSheetId="14" hidden="1">#REF!</definedName>
    <definedName name="__123Graph_F" localSheetId="8" hidden="1">#REF!</definedName>
    <definedName name="__123Graph_F" hidden="1">#REF!</definedName>
    <definedName name="__123Graph_FActual" localSheetId="1" hidden="1">[10]Retroactivos!#REF!</definedName>
    <definedName name="__123Graph_FActual" localSheetId="14" hidden="1">[10]Retroactivos!#REF!</definedName>
    <definedName name="__123Graph_FActual" localSheetId="8" hidden="1">[10]Retroactivos!#REF!</definedName>
    <definedName name="__123Graph_FActual" hidden="1">[10]Retroactivos!#REF!</definedName>
    <definedName name="__123Graph_FCurrent" localSheetId="1" hidden="1">'[19]Summary BOP'!#REF!</definedName>
    <definedName name="__123Graph_FCurrent" localSheetId="14" hidden="1">'[19]Summary BOP'!#REF!</definedName>
    <definedName name="__123Graph_FCurrent" localSheetId="8" hidden="1">'[19]Summary BOP'!#REF!</definedName>
    <definedName name="__123Graph_FCurrent" hidden="1">'[19]Summary BOP'!#REF!</definedName>
    <definedName name="__123Graph_FMONIMP" localSheetId="1" hidden="1">#REF!</definedName>
    <definedName name="__123Graph_FMONIMP" localSheetId="14" hidden="1">#REF!</definedName>
    <definedName name="__123Graph_FMONIMP" localSheetId="8" hidden="1">#REF!</definedName>
    <definedName name="__123Graph_FMONIMP" hidden="1">#REF!</definedName>
    <definedName name="__123Graph_X" localSheetId="1" hidden="1">'[18]Eje 2004'!#REF!</definedName>
    <definedName name="__123Graph_X" localSheetId="14" hidden="1">'[18]Eje 2004'!#REF!</definedName>
    <definedName name="__123Graph_X" localSheetId="8" hidden="1">'[18]Eje 2004'!#REF!</definedName>
    <definedName name="__123Graph_X" hidden="1">'[18]Eje 2004'!#REF!</definedName>
    <definedName name="__123Graph_XActual" localSheetId="1" hidden="1">[10]Retroactivos!#REF!</definedName>
    <definedName name="__123Graph_XActual" localSheetId="14" hidden="1">[10]Retroactivos!#REF!</definedName>
    <definedName name="__123Graph_XActual" localSheetId="8" hidden="1">[10]Retroactivos!#REF!</definedName>
    <definedName name="__123Graph_XActual" hidden="1">[10]Retroactivos!#REF!</definedName>
    <definedName name="__123Graph_XBSYSASST" localSheetId="1" hidden="1">#REF!</definedName>
    <definedName name="__123Graph_XBSYSASST" localSheetId="14" hidden="1">#REF!</definedName>
    <definedName name="__123Graph_XBSYSASST" localSheetId="8" hidden="1">#REF!</definedName>
    <definedName name="__123Graph_XBSYSASST" hidden="1">#REF!</definedName>
    <definedName name="__123Graph_XCBASSETS" localSheetId="1" hidden="1">#REF!</definedName>
    <definedName name="__123Graph_XCBASSETS" localSheetId="14" hidden="1">#REF!</definedName>
    <definedName name="__123Graph_XCBASSETS" localSheetId="8" hidden="1">#REF!</definedName>
    <definedName name="__123Graph_XCBASSETS" hidden="1">#REF!</definedName>
    <definedName name="__123Graph_XCBAWKLY" localSheetId="1" hidden="1">#REF!</definedName>
    <definedName name="__123Graph_XCBAWKLY" localSheetId="14" hidden="1">#REF!</definedName>
    <definedName name="__123Graph_XCBAWKLY" localSheetId="8" hidden="1">#REF!</definedName>
    <definedName name="__123Graph_XCBAWKLY" hidden="1">#REF!</definedName>
    <definedName name="__123Graph_XChart1" localSheetId="1" hidden="1">'[19]Summary BOP'!#REF!</definedName>
    <definedName name="__123Graph_XChart1" localSheetId="14" hidden="1">'[19]Summary BOP'!#REF!</definedName>
    <definedName name="__123Graph_XChart1" localSheetId="8" hidden="1">'[19]Summary BOP'!#REF!</definedName>
    <definedName name="__123Graph_XChart1" hidden="1">'[19]Summary BOP'!#REF!</definedName>
    <definedName name="__123Graph_XERDOLLAR" hidden="1">'[12]ex rate'!$F$15:$AM$15</definedName>
    <definedName name="__123Graph_XERRUBLE" hidden="1">'[12]ex rate'!$F$15:$AM$15</definedName>
    <definedName name="__123Graph_XMIMPMAC" localSheetId="1" hidden="1">#REF!</definedName>
    <definedName name="__123Graph_XMIMPMAC" localSheetId="14" hidden="1">#REF!</definedName>
    <definedName name="__123Graph_XMIMPMAC" localSheetId="8" hidden="1">#REF!</definedName>
    <definedName name="__123Graph_XMIMPMAC" hidden="1">#REF!</definedName>
    <definedName name="__123Graph_XMSWKLY" localSheetId="1" hidden="1">#REF!</definedName>
    <definedName name="__123Graph_XMSWKLY" localSheetId="14" hidden="1">#REF!</definedName>
    <definedName name="__123Graph_XMSWKLY" localSheetId="8" hidden="1">#REF!</definedName>
    <definedName name="__123Graph_XMSWKLY" hidden="1">#REF!</definedName>
    <definedName name="__123Graph_XRUBRATE" hidden="1">'[12]ex rate'!$K$15:$AN$15</definedName>
    <definedName name="__123Graph_XUSRATE" hidden="1">'[12]ex rate'!$K$15:$AN$15</definedName>
    <definedName name="__1Graph" localSheetId="1" hidden="1">'[18]Eje 2004'!#REF!</definedName>
    <definedName name="__1Graph" localSheetId="14" hidden="1">'[18]Eje 2004'!#REF!</definedName>
    <definedName name="__1Graph" localSheetId="8" hidden="1">'[18]Eje 2004'!#REF!</definedName>
    <definedName name="__1Graph" hidden="1">'[18]Eje 2004'!#REF!</definedName>
    <definedName name="__cop2008" localSheetId="1">#REF!</definedName>
    <definedName name="__cop2008" localSheetId="14">#REF!</definedName>
    <definedName name="__cop2008" localSheetId="8">#REF!</definedName>
    <definedName name="__cop2008">#REF!</definedName>
    <definedName name="__CRC1" localSheetId="1">#REF!</definedName>
    <definedName name="__CRC1" localSheetId="14">#REF!</definedName>
    <definedName name="__CRC1" localSheetId="8">#REF!</definedName>
    <definedName name="__CRC1">#REF!</definedName>
    <definedName name="__cua2" localSheetId="1">'[20]PAPE-98'!#REF!</definedName>
    <definedName name="__cua2" localSheetId="14">'[20]PAPE-98'!#REF!</definedName>
    <definedName name="__cua2" localSheetId="8">'[20]PAPE-98'!#REF!</definedName>
    <definedName name="__cua2">'[20]PAPE-98'!#REF!</definedName>
    <definedName name="__DGS1" localSheetId="1">#REF!</definedName>
    <definedName name="__DGS1" localSheetId="14">#REF!</definedName>
    <definedName name="__DGS1" localSheetId="8">#REF!</definedName>
    <definedName name="__DGS1">#REF!</definedName>
    <definedName name="__dgs2" localSheetId="1">#REF!</definedName>
    <definedName name="__dgs2" localSheetId="14">#REF!</definedName>
    <definedName name="__dgs2" localSheetId="8">#REF!</definedName>
    <definedName name="__dgs2">#REF!</definedName>
    <definedName name="__EGS1" localSheetId="1">#REF!</definedName>
    <definedName name="__EGS1" localSheetId="14">#REF!</definedName>
    <definedName name="__EGS1" localSheetId="8">#REF!</definedName>
    <definedName name="__EGS1">#REF!</definedName>
    <definedName name="__EGS2" localSheetId="1">#REF!</definedName>
    <definedName name="__EGS2" localSheetId="8">#REF!</definedName>
    <definedName name="__EGS2">#REF!</definedName>
    <definedName name="__EGS3" localSheetId="1">#REF!</definedName>
    <definedName name="__EGS3" localSheetId="8">#REF!</definedName>
    <definedName name="__EGS3">#REF!</definedName>
    <definedName name="__GRA1">[7]EG!$V$208:$AJ$300</definedName>
    <definedName name="__LCS1" localSheetId="1">#REF!</definedName>
    <definedName name="__LCS1" localSheetId="14">#REF!</definedName>
    <definedName name="__LCS1" localSheetId="8">#REF!</definedName>
    <definedName name="__LCS1">#REF!</definedName>
    <definedName name="__mf1" localSheetId="1">#REF!</definedName>
    <definedName name="__mf1" localSheetId="14">#REF!</definedName>
    <definedName name="__mf1" localSheetId="8">#REF!</definedName>
    <definedName name="__mf1">#REF!</definedName>
    <definedName name="__R">#N/A</definedName>
    <definedName name="__SRQ1" localSheetId="1">'[9]FLC Chimoré'!#REF!</definedName>
    <definedName name="__SRQ1" localSheetId="14">'[9]FLC Chimoré'!#REF!</definedName>
    <definedName name="__SRQ1" localSheetId="8">'[9]FLC Chimoré'!#REF!</definedName>
    <definedName name="__SRQ1">'[9]FLC Chimoré'!#REF!</definedName>
    <definedName name="_1_0ju" localSheetId="1" hidden="1">#REF!</definedName>
    <definedName name="_1_0ju" localSheetId="14" hidden="1">#REF!</definedName>
    <definedName name="_1_0ju" localSheetId="8" hidden="1">#REF!</definedName>
    <definedName name="_1_0ju" hidden="1">#REF!</definedName>
    <definedName name="_10__123Graph_BIBA_IBRD" localSheetId="1" hidden="1">[16]WB!#REF!</definedName>
    <definedName name="_10__123Graph_BIBA_IBRD" localSheetId="14" hidden="1">[16]WB!#REF!</definedName>
    <definedName name="_10__123Graph_BIBA_IBRD" localSheetId="8" hidden="1">[16]WB!#REF!</definedName>
    <definedName name="_10__123Graph_BIBA_IBRD" hidden="1">[16]WB!#REF!</definedName>
    <definedName name="_11__123Graph_BNDA_OIN" localSheetId="1" hidden="1">#REF!</definedName>
    <definedName name="_11__123Graph_BNDA_OIN" localSheetId="14" hidden="1">#REF!</definedName>
    <definedName name="_11__123Graph_BNDA_OIN" localSheetId="8" hidden="1">#REF!</definedName>
    <definedName name="_11__123Graph_BNDA_OIN" hidden="1">#REF!</definedName>
    <definedName name="_12__123Graph_BR_BMONEY" localSheetId="1" hidden="1">#REF!</definedName>
    <definedName name="_12__123Graph_BR_BMONEY" localSheetId="14" hidden="1">#REF!</definedName>
    <definedName name="_12__123Graph_BR_BMONEY" localSheetId="8" hidden="1">#REF!</definedName>
    <definedName name="_12__123Graph_BR_BMONEY" hidden="1">#REF!</definedName>
    <definedName name="_1201" localSheetId="1">#REF!</definedName>
    <definedName name="_1201" localSheetId="14">#REF!</definedName>
    <definedName name="_1201" localSheetId="8">#REF!</definedName>
    <definedName name="_1201">#REF!</definedName>
    <definedName name="_12011" localSheetId="1">#REF!</definedName>
    <definedName name="_12011" localSheetId="8">#REF!</definedName>
    <definedName name="_12011">#REF!</definedName>
    <definedName name="_1202" localSheetId="1">#REF!</definedName>
    <definedName name="_1202" localSheetId="8">#REF!</definedName>
    <definedName name="_1202">#REF!</definedName>
    <definedName name="_13__123Graph_BSEIGNOR" localSheetId="1" hidden="1">[17]seignior!#REF!</definedName>
    <definedName name="_13__123Graph_BSEIGNOR" localSheetId="8" hidden="1">[17]seignior!#REF!</definedName>
    <definedName name="_13__123Graph_BSEIGNOR" hidden="1">[17]seignior!#REF!</definedName>
    <definedName name="_14__123Graph_CMIMPMA_0" localSheetId="1" hidden="1">#REF!</definedName>
    <definedName name="_14__123Graph_CMIMPMA_0" localSheetId="14" hidden="1">#REF!</definedName>
    <definedName name="_14__123Graph_CMIMPMA_0" localSheetId="8" hidden="1">#REF!</definedName>
    <definedName name="_14__123Graph_CMIMPMA_0" hidden="1">#REF!</definedName>
    <definedName name="_15__123Graph_DMIMPMA_1" localSheetId="1" hidden="1">#REF!</definedName>
    <definedName name="_15__123Graph_DMIMPMA_1" localSheetId="14" hidden="1">#REF!</definedName>
    <definedName name="_15__123Graph_DMIMPMA_1" localSheetId="8" hidden="1">#REF!</definedName>
    <definedName name="_15__123Graph_DMIMPMA_1" hidden="1">#REF!</definedName>
    <definedName name="_16__123Graph_EMIMPMA_0" localSheetId="1" hidden="1">#REF!</definedName>
    <definedName name="_16__123Graph_EMIMPMA_0" localSheetId="14" hidden="1">#REF!</definedName>
    <definedName name="_16__123Graph_EMIMPMA_0" localSheetId="8" hidden="1">#REF!</definedName>
    <definedName name="_16__123Graph_EMIMPMA_0" hidden="1">#REF!</definedName>
    <definedName name="_17__123Graph_EMIMPMA_1" localSheetId="1" hidden="1">#REF!</definedName>
    <definedName name="_17__123Graph_EMIMPMA_1" localSheetId="8" hidden="1">#REF!</definedName>
    <definedName name="_17__123Graph_EMIMPMA_1" hidden="1">#REF!</definedName>
    <definedName name="_18__123Graph_FMIMPMA_0" localSheetId="1" hidden="1">#REF!</definedName>
    <definedName name="_18__123Graph_FMIMPMA_0" localSheetId="8" hidden="1">#REF!</definedName>
    <definedName name="_18__123Graph_FMIMPMA_0" hidden="1">#REF!</definedName>
    <definedName name="_19__123Graph_XMIMPMA_0" localSheetId="1" hidden="1">#REF!</definedName>
    <definedName name="_19__123Graph_XMIMPMA_0" localSheetId="8" hidden="1">#REF!</definedName>
    <definedName name="_19__123Graph_XMIMPMA_0" hidden="1">#REF!</definedName>
    <definedName name="_20__123Graph_XR_BMONEY" localSheetId="1" hidden="1">#REF!</definedName>
    <definedName name="_20__123Graph_XR_BMONEY" localSheetId="8" hidden="1">#REF!</definedName>
    <definedName name="_20__123Graph_XR_BMONEY" hidden="1">#REF!</definedName>
    <definedName name="_21__123Graph_XREALEX_WAGE" localSheetId="1" hidden="1">[21]PRIVATE!#REF!</definedName>
    <definedName name="_21__123Graph_XREALEX_WAGE" localSheetId="8" hidden="1">[21]PRIVATE!#REF!</definedName>
    <definedName name="_21__123Graph_XREALEX_WAGE" hidden="1">[21]PRIVATE!#REF!</definedName>
    <definedName name="_22_0ju" localSheetId="1" hidden="1">#REF!</definedName>
    <definedName name="_22_0ju" localSheetId="14" hidden="1">#REF!</definedName>
    <definedName name="_22_0ju" localSheetId="8" hidden="1">#REF!</definedName>
    <definedName name="_22_0ju" hidden="1">#REF!</definedName>
    <definedName name="_235" localSheetId="1" hidden="1">#REF!</definedName>
    <definedName name="_235" localSheetId="14" hidden="1">#REF!</definedName>
    <definedName name="_235" localSheetId="8" hidden="1">#REF!</definedName>
    <definedName name="_235" hidden="1">#REF!</definedName>
    <definedName name="_3__123Graph_ACPI_ER_LOG" localSheetId="1" hidden="1">[16]ER!#REF!</definedName>
    <definedName name="_3__123Graph_ACPI_ER_LOG" localSheetId="14" hidden="1">[16]ER!#REF!</definedName>
    <definedName name="_3__123Graph_ACPI_ER_LOG" localSheetId="8" hidden="1">[16]ER!#REF!</definedName>
    <definedName name="_3__123Graph_ACPI_ER_LOG" hidden="1">[16]ER!#REF!</definedName>
    <definedName name="_4__123Graph_AINVENT_SALES" localSheetId="1" hidden="1">#REF!</definedName>
    <definedName name="_4__123Graph_AINVENT_SALES" localSheetId="14" hidden="1">#REF!</definedName>
    <definedName name="_4__123Graph_AINVENT_SALES" localSheetId="8" hidden="1">#REF!</definedName>
    <definedName name="_4__123Graph_AINVENT_SALES" hidden="1">#REF!</definedName>
    <definedName name="_5__123Graph_AMIMPMA_1" localSheetId="1" hidden="1">#REF!</definedName>
    <definedName name="_5__123Graph_AMIMPMA_1" localSheetId="14" hidden="1">#REF!</definedName>
    <definedName name="_5__123Graph_AMIMPMA_1" localSheetId="8" hidden="1">#REF!</definedName>
    <definedName name="_5__123Graph_AMIMPMA_1" hidden="1">#REF!</definedName>
    <definedName name="_6__123Graph_ANDA_OIN" localSheetId="1" hidden="1">#REF!</definedName>
    <definedName name="_6__123Graph_ANDA_OIN" localSheetId="14" hidden="1">#REF!</definedName>
    <definedName name="_6__123Graph_ANDA_OIN" localSheetId="8" hidden="1">#REF!</definedName>
    <definedName name="_6__123Graph_ANDA_OIN" hidden="1">#REF!</definedName>
    <definedName name="_7__123Graph_AR_BMONEY" localSheetId="1" hidden="1">#REF!</definedName>
    <definedName name="_7__123Graph_AR_BMONEY" localSheetId="8" hidden="1">#REF!</definedName>
    <definedName name="_7__123Graph_AR_BMONEY" hidden="1">#REF!</definedName>
    <definedName name="_8__123Graph_ASEIGNOR" localSheetId="1" hidden="1">[17]seignior!#REF!</definedName>
    <definedName name="_8__123Graph_ASEIGNOR" localSheetId="8" hidden="1">[17]seignior!#REF!</definedName>
    <definedName name="_8__123Graph_ASEIGNOR" hidden="1">[17]seignior!#REF!</definedName>
    <definedName name="_9__123Graph_BCPI_ER_LOG" localSheetId="1" hidden="1">[16]ER!#REF!</definedName>
    <definedName name="_9__123Graph_BCPI_ER_LOG" localSheetId="8" hidden="1">[16]ER!#REF!</definedName>
    <definedName name="_9__123Graph_BCPI_ER_LOG" hidden="1">[16]ER!#REF!</definedName>
    <definedName name="_abs1" localSheetId="1">#REF!</definedName>
    <definedName name="_abs1" localSheetId="14">#REF!</definedName>
    <definedName name="_abs1" localSheetId="8">#REF!</definedName>
    <definedName name="_abs1">#REF!</definedName>
    <definedName name="_abs2" localSheetId="1">#REF!</definedName>
    <definedName name="_abs2" localSheetId="14">#REF!</definedName>
    <definedName name="_abs2" localSheetId="8">#REF!</definedName>
    <definedName name="_abs2">#REF!</definedName>
    <definedName name="_abs3" localSheetId="1">#REF!</definedName>
    <definedName name="_abs3" localSheetId="14">#REF!</definedName>
    <definedName name="_abs3" localSheetId="8">#REF!</definedName>
    <definedName name="_abs3">#REF!</definedName>
    <definedName name="_aen1" localSheetId="1">#REF!</definedName>
    <definedName name="_aen1" localSheetId="8">#REF!</definedName>
    <definedName name="_aen1">#REF!</definedName>
    <definedName name="_aen2" localSheetId="1">#REF!</definedName>
    <definedName name="_aen2" localSheetId="8">#REF!</definedName>
    <definedName name="_aen2">#REF!</definedName>
    <definedName name="_bem98" localSheetId="1">[22]Programa!#REF!</definedName>
    <definedName name="_bem98" localSheetId="8">[22]Programa!#REF!</definedName>
    <definedName name="_bem98">[22]Programa!#REF!</definedName>
    <definedName name="_BOP1" localSheetId="1">#REF!</definedName>
    <definedName name="_BOP1" localSheetId="14">#REF!</definedName>
    <definedName name="_BOP1" localSheetId="8">#REF!</definedName>
    <definedName name="_BOP1">#REF!</definedName>
    <definedName name="_BOP2" localSheetId="1">#REF!</definedName>
    <definedName name="_BOP2" localSheetId="14">#REF!</definedName>
    <definedName name="_BOP2" localSheetId="8">#REF!</definedName>
    <definedName name="_BOP2">#REF!</definedName>
    <definedName name="_CEL96" localSheetId="1">#REF!</definedName>
    <definedName name="_CEL96" localSheetId="14">#REF!</definedName>
    <definedName name="_CEL96" localSheetId="8">#REF!</definedName>
    <definedName name="_CEL96">#REF!</definedName>
    <definedName name="_cop2008" localSheetId="1">#REF!</definedName>
    <definedName name="_cop2008" localSheetId="8">#REF!</definedName>
    <definedName name="_cop2008">#REF!</definedName>
    <definedName name="_CRC1" localSheetId="1">#REF!</definedName>
    <definedName name="_CRC1" localSheetId="8">#REF!</definedName>
    <definedName name="_CRC1">#REF!</definedName>
    <definedName name="_cua2" localSheetId="1">'[20]PAPE-98'!#REF!</definedName>
    <definedName name="_cua2" localSheetId="8">'[20]PAPE-98'!#REF!</definedName>
    <definedName name="_cua2">'[20]PAPE-98'!#REF!</definedName>
    <definedName name="_cud21" localSheetId="1">#REF!</definedName>
    <definedName name="_cud21" localSheetId="14">#REF!</definedName>
    <definedName name="_cud21" localSheetId="8">#REF!</definedName>
    <definedName name="_cud21">#REF!</definedName>
    <definedName name="_DAT1" localSheetId="1">'[23]CxC CP YPFB 24.08.11'!#REF!</definedName>
    <definedName name="_DAT1" localSheetId="8">'[23]CxC CP YPFB 24.08.11'!#REF!</definedName>
    <definedName name="_DAT1">'[23]CxC CP YPFB 24.08.11'!#REF!</definedName>
    <definedName name="_DAT15" localSheetId="1">#REF!</definedName>
    <definedName name="_DAT15" localSheetId="14">#REF!</definedName>
    <definedName name="_DAT15" localSheetId="8">#REF!</definedName>
    <definedName name="_DAT15">#REF!</definedName>
    <definedName name="_DAT16" localSheetId="1">#REF!</definedName>
    <definedName name="_DAT16" localSheetId="14">#REF!</definedName>
    <definedName name="_DAT16" localSheetId="8">#REF!</definedName>
    <definedName name="_DAT16">#REF!</definedName>
    <definedName name="_DAT17" localSheetId="1">'[24]SAP PA DR CP 01.09.09'!#REF!</definedName>
    <definedName name="_DAT17" localSheetId="14">'[24]SAP PA DR CP 01.09.09'!#REF!</definedName>
    <definedName name="_DAT17" localSheetId="8">'[24]SAP PA DR CP 01.09.09'!#REF!</definedName>
    <definedName name="_DAT17">'[24]SAP PA DR CP 01.09.09'!#REF!</definedName>
    <definedName name="_DAT2" localSheetId="1">'[23]CxC CP YPFB 24.08.11'!#REF!</definedName>
    <definedName name="_DAT2" localSheetId="14">'[23]CxC CP YPFB 24.08.11'!#REF!</definedName>
    <definedName name="_DAT2" localSheetId="8">'[23]CxC CP YPFB 24.08.11'!#REF!</definedName>
    <definedName name="_DAT2">'[23]CxC CP YPFB 24.08.11'!#REF!</definedName>
    <definedName name="_DAT3" localSheetId="1">'[23]CxC CP YPFB 24.08.11'!#REF!</definedName>
    <definedName name="_DAT3" localSheetId="8">'[23]CxC CP YPFB 24.08.11'!#REF!</definedName>
    <definedName name="_DAT3">'[23]CxC CP YPFB 24.08.11'!#REF!</definedName>
    <definedName name="_dcc2000" localSheetId="1">#REF!</definedName>
    <definedName name="_dcc2000" localSheetId="14">#REF!</definedName>
    <definedName name="_dcc2000" localSheetId="8">#REF!</definedName>
    <definedName name="_dcc2000">#REF!</definedName>
    <definedName name="_dcc2001" localSheetId="1">#REF!</definedName>
    <definedName name="_dcc2001" localSheetId="14">#REF!</definedName>
    <definedName name="_dcc2001" localSheetId="8">#REF!</definedName>
    <definedName name="_dcc2001">#REF!</definedName>
    <definedName name="_dcc2002" localSheetId="1">#REF!</definedName>
    <definedName name="_dcc2002" localSheetId="14">#REF!</definedName>
    <definedName name="_dcc2002" localSheetId="8">#REF!</definedName>
    <definedName name="_dcc2002">#REF!</definedName>
    <definedName name="_dcc2003" localSheetId="1">#REF!</definedName>
    <definedName name="_dcc2003" localSheetId="8">#REF!</definedName>
    <definedName name="_dcc2003">#REF!</definedName>
    <definedName name="_dcc98" localSheetId="1">[22]Programa!#REF!</definedName>
    <definedName name="_dcc98" localSheetId="8">[22]Programa!#REF!</definedName>
    <definedName name="_dcc98">[22]Programa!#REF!</definedName>
    <definedName name="_dcc99" localSheetId="1">#REF!</definedName>
    <definedName name="_dcc99" localSheetId="14">#REF!</definedName>
    <definedName name="_dcc99" localSheetId="8">#REF!</definedName>
    <definedName name="_dcc99">#REF!</definedName>
    <definedName name="_DG25" localSheetId="1">#REF!</definedName>
    <definedName name="_DG25" localSheetId="14">#REF!</definedName>
    <definedName name="_DG25" localSheetId="8">#REF!</definedName>
    <definedName name="_DG25">#REF!</definedName>
    <definedName name="_DGS1" localSheetId="1">#REF!</definedName>
    <definedName name="_DGS1" localSheetId="14">#REF!</definedName>
    <definedName name="_DGS1" localSheetId="8">#REF!</definedName>
    <definedName name="_DGS1">#REF!</definedName>
    <definedName name="_dgs2" localSheetId="1">#REF!</definedName>
    <definedName name="_dgs2" localSheetId="8">#REF!</definedName>
    <definedName name="_dgs2">#REF!</definedName>
    <definedName name="_dic96" localSheetId="1">#REF!</definedName>
    <definedName name="_dic96" localSheetId="8">#REF!</definedName>
    <definedName name="_dic96">#REF!</definedName>
    <definedName name="_EGS1" localSheetId="1">#REF!</definedName>
    <definedName name="_EGS1" localSheetId="8">#REF!</definedName>
    <definedName name="_EGS1">#REF!</definedName>
    <definedName name="_EGS2" localSheetId="1">#REF!</definedName>
    <definedName name="_EGS2" localSheetId="8">#REF!</definedName>
    <definedName name="_EGS2">#REF!</definedName>
    <definedName name="_EGS3" localSheetId="1">#REF!</definedName>
    <definedName name="_EGS3" localSheetId="8">#REF!</definedName>
    <definedName name="_EGS3">#REF!</definedName>
    <definedName name="_EGS6" localSheetId="1">#REF!</definedName>
    <definedName name="_EGS6" localSheetId="8">#REF!</definedName>
    <definedName name="_EGS6">#REF!</definedName>
    <definedName name="_EGS7" localSheetId="1">#REF!</definedName>
    <definedName name="_EGS7" localSheetId="8">#REF!</definedName>
    <definedName name="_EGS7">#REF!</definedName>
    <definedName name="_EGS9" localSheetId="1">#REF!</definedName>
    <definedName name="_EGS9" localSheetId="8">#REF!</definedName>
    <definedName name="_EGS9">#REF!</definedName>
    <definedName name="_emi2000" localSheetId="1">#REF!</definedName>
    <definedName name="_emi2000" localSheetId="8">#REF!</definedName>
    <definedName name="_emi2000">#REF!</definedName>
    <definedName name="_emi2001" localSheetId="1">#REF!</definedName>
    <definedName name="_emi2001" localSheetId="8">#REF!</definedName>
    <definedName name="_emi2001">#REF!</definedName>
    <definedName name="_emi2002" localSheetId="1">#REF!</definedName>
    <definedName name="_emi2002" localSheetId="8">#REF!</definedName>
    <definedName name="_emi2002">#REF!</definedName>
    <definedName name="_emi2003" localSheetId="1">#REF!</definedName>
    <definedName name="_emi2003" localSheetId="8">#REF!</definedName>
    <definedName name="_emi2003">#REF!</definedName>
    <definedName name="_emi98" localSheetId="1">#REF!</definedName>
    <definedName name="_emi98" localSheetId="8">#REF!</definedName>
    <definedName name="_emi98">#REF!</definedName>
    <definedName name="_emi99" localSheetId="1">#REF!</definedName>
    <definedName name="_emi99" localSheetId="8">#REF!</definedName>
    <definedName name="_emi99">#REF!</definedName>
    <definedName name="_EXP5" localSheetId="1">#REF!</definedName>
    <definedName name="_EXP5" localSheetId="8">#REF!</definedName>
    <definedName name="_EXP5">#REF!</definedName>
    <definedName name="_EXP6" localSheetId="1">#REF!</definedName>
    <definedName name="_EXP6" localSheetId="8">#REF!</definedName>
    <definedName name="_EXP6">#REF!</definedName>
    <definedName name="_EXP7" localSheetId="1">#REF!</definedName>
    <definedName name="_EXP7" localSheetId="8">#REF!</definedName>
    <definedName name="_EXP7">#REF!</definedName>
    <definedName name="_EXP9" localSheetId="1">#REF!</definedName>
    <definedName name="_EXP9" localSheetId="8">#REF!</definedName>
    <definedName name="_EXP9">#REF!</definedName>
    <definedName name="_EXR1" localSheetId="1">#REF!</definedName>
    <definedName name="_EXR1" localSheetId="8">#REF!</definedName>
    <definedName name="_EXR1">#REF!</definedName>
    <definedName name="_EXR2" localSheetId="1">#REF!</definedName>
    <definedName name="_EXR2" localSheetId="8">#REF!</definedName>
    <definedName name="_EXR2">#REF!</definedName>
    <definedName name="_EXR3" localSheetId="1">#REF!</definedName>
    <definedName name="_EXR3" localSheetId="8">#REF!</definedName>
    <definedName name="_EXR3">#REF!</definedName>
    <definedName name="_f" localSheetId="1">#REF!</definedName>
    <definedName name="_f" localSheetId="8">#REF!</definedName>
    <definedName name="_f">#REF!</definedName>
    <definedName name="_Fill" localSheetId="1" hidden="1">#REF!</definedName>
    <definedName name="_Fill" localSheetId="8" hidden="1">#REF!</definedName>
    <definedName name="_Fill" hidden="1">#REF!</definedName>
    <definedName name="_Fill1" localSheetId="1" hidden="1">#REF!</definedName>
    <definedName name="_Fill1" localSheetId="8" hidden="1">#REF!</definedName>
    <definedName name="_Fill1" hidden="1">#REF!</definedName>
    <definedName name="_filterd" hidden="1">[25]C!$P$428:$T$428</definedName>
    <definedName name="_xlnm._FilterDatabase" hidden="1">[26]C!$P$428:$T$428</definedName>
    <definedName name="_FIS96" localSheetId="1">#REF!</definedName>
    <definedName name="_FIS96" localSheetId="14">#REF!</definedName>
    <definedName name="_FIS96" localSheetId="8">#REF!</definedName>
    <definedName name="_FIS96">#REF!</definedName>
    <definedName name="_GAM2015" localSheetId="1">#REF!</definedName>
    <definedName name="_GAM2015" localSheetId="14">#REF!</definedName>
    <definedName name="_GAM2015" localSheetId="8">#REF!</definedName>
    <definedName name="_GAM2015">#REF!</definedName>
    <definedName name="_gfd2" localSheetId="14" hidden="1">{"mt1",#N/A,FALSE,"Debt";"mt2",#N/A,FALSE,"Debt";"mt3",#N/A,FALSE,"Debt";"mt4",#N/A,FALSE,"Debt";"mt5",#N/A,FALSE,"Debt";"mt6",#N/A,FALSE,"Debt";"mt7",#N/A,FALSE,"Debt"}</definedName>
    <definedName name="_gfd2" hidden="1">{"mt1",#N/A,FALSE,"Debt";"mt2",#N/A,FALSE,"Debt";"mt3",#N/A,FALSE,"Debt";"mt4",#N/A,FALSE,"Debt";"mt5",#N/A,FALSE,"Debt";"mt6",#N/A,FALSE,"Debt";"mt7",#N/A,FALSE,"Debt"}</definedName>
    <definedName name="_gfd23" localSheetId="14" hidden="1">{"mt1",#N/A,FALSE,"Debt";"mt2",#N/A,FALSE,"Debt";"mt3",#N/A,FALSE,"Debt";"mt4",#N/A,FALSE,"Debt";"mt5",#N/A,FALSE,"Debt";"mt6",#N/A,FALSE,"Debt";"mt7",#N/A,FALSE,"Debt"}</definedName>
    <definedName name="_gfd23" hidden="1">{"mt1",#N/A,FALSE,"Debt";"mt2",#N/A,FALSE,"Debt";"mt3",#N/A,FALSE,"Debt";"mt4",#N/A,FALSE,"Debt";"mt5",#N/A,FALSE,"Debt";"mt6",#N/A,FALSE,"Debt";"mt7",#N/A,FALSE,"Debt"}</definedName>
    <definedName name="_GRA1">[7]EG!$V$208:$AJ$300</definedName>
    <definedName name="_GRA3">[27]EG!$V$208:$AJ$300</definedName>
    <definedName name="_gt4" localSheetId="14" hidden="1">{#N/A,#N/A,FALSE,"DOC";"TB_28",#N/A,FALSE,"FITB_28";"TB_91",#N/A,FALSE,"FITB_91";"TB_182",#N/A,FALSE,"FITB_182";"TB_273",#N/A,FALSE,"FITB_273";"TB_364",#N/A,FALSE,"FITB_364 ";"SUMMARY",#N/A,FALSE,"Summary"}</definedName>
    <definedName name="_gt4" hidden="1">{#N/A,#N/A,FALSE,"DOC";"TB_28",#N/A,FALSE,"FITB_28";"TB_91",#N/A,FALSE,"FITB_91";"TB_182",#N/A,FALSE,"FITB_182";"TB_273",#N/A,FALSE,"FITB_273";"TB_364",#N/A,FALSE,"FITB_364 ";"SUMMARY",#N/A,FALSE,"Summary"}</definedName>
    <definedName name="_IMP10" localSheetId="1">#REF!</definedName>
    <definedName name="_IMP10" localSheetId="14">#REF!</definedName>
    <definedName name="_IMP10" localSheetId="8">#REF!</definedName>
    <definedName name="_IMP10">#REF!</definedName>
    <definedName name="_IMP2" localSheetId="1">#REF!</definedName>
    <definedName name="_IMP2" localSheetId="14">#REF!</definedName>
    <definedName name="_IMP2" localSheetId="8">#REF!</definedName>
    <definedName name="_IMP2">#REF!</definedName>
    <definedName name="_IMP4" localSheetId="1">#REF!</definedName>
    <definedName name="_IMP4" localSheetId="14">#REF!</definedName>
    <definedName name="_IMP4" localSheetId="8">#REF!</definedName>
    <definedName name="_IMP4">#REF!</definedName>
    <definedName name="_IMP6" localSheetId="1">#REF!</definedName>
    <definedName name="_IMP6" localSheetId="8">#REF!</definedName>
    <definedName name="_IMP6">#REF!</definedName>
    <definedName name="_IMP7" localSheetId="1">#REF!</definedName>
    <definedName name="_IMP7" localSheetId="8">#REF!</definedName>
    <definedName name="_IMP7">#REF!</definedName>
    <definedName name="_IMP8" localSheetId="1">#REF!</definedName>
    <definedName name="_IMP8" localSheetId="8">#REF!</definedName>
    <definedName name="_IMP8">#REF!</definedName>
    <definedName name="_INE1" localSheetId="1">#REF!</definedName>
    <definedName name="_INE1" localSheetId="8">#REF!</definedName>
    <definedName name="_INE1">#REF!</definedName>
    <definedName name="_ipc2000" localSheetId="1">#REF!</definedName>
    <definedName name="_ipc2000" localSheetId="8">#REF!</definedName>
    <definedName name="_ipc2000">#REF!</definedName>
    <definedName name="_ipc2001" localSheetId="1">#REF!</definedName>
    <definedName name="_ipc2001" localSheetId="8">#REF!</definedName>
    <definedName name="_ipc2001">#REF!</definedName>
    <definedName name="_ipc2002" localSheetId="1">#REF!</definedName>
    <definedName name="_ipc2002" localSheetId="8">#REF!</definedName>
    <definedName name="_ipc2002">#REF!</definedName>
    <definedName name="_ipc2003" localSheetId="1">#REF!</definedName>
    <definedName name="_ipc2003" localSheetId="8">#REF!</definedName>
    <definedName name="_ipc2003">#REF!</definedName>
    <definedName name="_ipc98" localSheetId="1">#REF!</definedName>
    <definedName name="_ipc98" localSheetId="8">#REF!</definedName>
    <definedName name="_ipc98">#REF!</definedName>
    <definedName name="_ipc99" localSheetId="1">#REF!</definedName>
    <definedName name="_ipc99" localSheetId="8">#REF!</definedName>
    <definedName name="_ipc99">#REF!</definedName>
    <definedName name="_JO" localSheetId="1">#REF!</definedName>
    <definedName name="_JO" localSheetId="8">#REF!</definedName>
    <definedName name="_JO">#REF!</definedName>
    <definedName name="_Key1" localSheetId="1" hidden="1">#REF!</definedName>
    <definedName name="_Key1" localSheetId="8" hidden="1">#REF!</definedName>
    <definedName name="_Key1" hidden="1">#REF!</definedName>
    <definedName name="_Key2" localSheetId="1" hidden="1">[28]Contents!#REF!</definedName>
    <definedName name="_Key2" localSheetId="8" hidden="1">[28]Contents!#REF!</definedName>
    <definedName name="_Key2" hidden="1">[28]Contents!#REF!</definedName>
    <definedName name="_LCS1" localSheetId="1">#REF!</definedName>
    <definedName name="_LCS1" localSheetId="14">#REF!</definedName>
    <definedName name="_LCS1" localSheetId="8">#REF!</definedName>
    <definedName name="_LCS1">#REF!</definedName>
    <definedName name="_lyf5" localSheetId="14" hidden="1">{#N/A,#N/A,FALSE,"PUBLEXP"}</definedName>
    <definedName name="_lyf5" hidden="1">{#N/A,#N/A,FALSE,"PUBLEXP"}</definedName>
    <definedName name="_me98" localSheetId="1">[22]Programa!#REF!</definedName>
    <definedName name="_me98" localSheetId="8">[22]Programa!#REF!</definedName>
    <definedName name="_me98">[22]Programa!#REF!</definedName>
    <definedName name="_mf1" localSheetId="1">#REF!</definedName>
    <definedName name="_mf1" localSheetId="14">#REF!</definedName>
    <definedName name="_mf1" localSheetId="8">#REF!</definedName>
    <definedName name="_mf1">#REF!</definedName>
    <definedName name="_mk14" localSheetId="1">[29]NFPEntps!#REF!</definedName>
    <definedName name="_mk14" localSheetId="8">[29]NFPEntps!#REF!</definedName>
    <definedName name="_mk14">[29]NFPEntps!#REF!</definedName>
    <definedName name="_MTS2" localSheetId="1">'[30]Annual Tables'!#REF!</definedName>
    <definedName name="_MTS2" localSheetId="8">'[30]Annual Tables'!#REF!</definedName>
    <definedName name="_MTS2">'[30]Annual Tables'!#REF!</definedName>
    <definedName name="_npp2000" localSheetId="1">#REF!</definedName>
    <definedName name="_npp2000" localSheetId="14">#REF!</definedName>
    <definedName name="_npp2000" localSheetId="8">#REF!</definedName>
    <definedName name="_npp2000">#REF!</definedName>
    <definedName name="_npp2001" localSheetId="1">#REF!</definedName>
    <definedName name="_npp2001" localSheetId="14">#REF!</definedName>
    <definedName name="_npp2001" localSheetId="8">#REF!</definedName>
    <definedName name="_npp2001">#REF!</definedName>
    <definedName name="_npp2002" localSheetId="1">#REF!</definedName>
    <definedName name="_npp2002" localSheetId="14">#REF!</definedName>
    <definedName name="_npp2002" localSheetId="8">#REF!</definedName>
    <definedName name="_npp2002">#REF!</definedName>
    <definedName name="_npp2003" localSheetId="1">#REF!</definedName>
    <definedName name="_npp2003" localSheetId="8">#REF!</definedName>
    <definedName name="_npp2003">#REF!</definedName>
    <definedName name="_npp98" localSheetId="1">#REF!</definedName>
    <definedName name="_npp98" localSheetId="8">#REF!</definedName>
    <definedName name="_npp98">#REF!</definedName>
    <definedName name="_npp99" localSheetId="1">#REF!</definedName>
    <definedName name="_npp99" localSheetId="8">#REF!</definedName>
    <definedName name="_npp99">#REF!</definedName>
    <definedName name="_Order1" hidden="1">255</definedName>
    <definedName name="_Order2" hidden="1">255</definedName>
    <definedName name="_OUT1" localSheetId="1">#REF!</definedName>
    <definedName name="_OUT1" localSheetId="14">#REF!</definedName>
    <definedName name="_OUT1" localSheetId="8">#REF!</definedName>
    <definedName name="_OUT1">#REF!</definedName>
    <definedName name="_OUT2" localSheetId="1">'[31]Serv&amp;Trans'!#REF!</definedName>
    <definedName name="_OUT2" localSheetId="8">'[31]Serv&amp;Trans'!#REF!</definedName>
    <definedName name="_OUT2">'[31]Serv&amp;Trans'!#REF!</definedName>
    <definedName name="_OUT3" localSheetId="1">#REF!</definedName>
    <definedName name="_OUT3" localSheetId="14">#REF!</definedName>
    <definedName name="_OUT3" localSheetId="8">#REF!</definedName>
    <definedName name="_OUT3">#REF!</definedName>
    <definedName name="_OUT4" localSheetId="1">#REF!</definedName>
    <definedName name="_OUT4" localSheetId="14">#REF!</definedName>
    <definedName name="_OUT4" localSheetId="8">#REF!</definedName>
    <definedName name="_OUT4">#REF!</definedName>
    <definedName name="_OUT5" localSheetId="1">#REF!</definedName>
    <definedName name="_OUT5" localSheetId="14">#REF!</definedName>
    <definedName name="_OUT5" localSheetId="8">#REF!</definedName>
    <definedName name="_OUT5">#REF!</definedName>
    <definedName name="_OUT6" localSheetId="1">#REF!</definedName>
    <definedName name="_OUT6" localSheetId="8">#REF!</definedName>
    <definedName name="_OUT6">#REF!</definedName>
    <definedName name="_OUT7" localSheetId="1">#REF!</definedName>
    <definedName name="_OUT7" localSheetId="8">#REF!</definedName>
    <definedName name="_OUT7">#REF!</definedName>
    <definedName name="_PAG2" localSheetId="1">[30]Index!#REF!</definedName>
    <definedName name="_PAG2" localSheetId="8">[30]Index!#REF!</definedName>
    <definedName name="_PAG2">[30]Index!#REF!</definedName>
    <definedName name="_PAG3" localSheetId="1">[30]Index!#REF!</definedName>
    <definedName name="_PAG3" localSheetId="8">[30]Index!#REF!</definedName>
    <definedName name="_PAG3">[30]Index!#REF!</definedName>
    <definedName name="_PAG4" localSheetId="1">[30]Index!#REF!</definedName>
    <definedName name="_PAG4" localSheetId="8">[30]Index!#REF!</definedName>
    <definedName name="_PAG4">[30]Index!#REF!</definedName>
    <definedName name="_PAG5" localSheetId="1">[30]Index!#REF!</definedName>
    <definedName name="_PAG5" localSheetId="8">[30]Index!#REF!</definedName>
    <definedName name="_PAG5">[30]Index!#REF!</definedName>
    <definedName name="_PAG6" localSheetId="1">[30]Index!#REF!</definedName>
    <definedName name="_PAG6" localSheetId="8">[30]Index!#REF!</definedName>
    <definedName name="_PAG6">[30]Index!#REF!</definedName>
    <definedName name="_PAG7" localSheetId="1">#REF!</definedName>
    <definedName name="_PAG7" localSheetId="14">#REF!</definedName>
    <definedName name="_PAG7" localSheetId="8">#REF!</definedName>
    <definedName name="_PAG7">#REF!</definedName>
    <definedName name="_Parse_In" localSheetId="1" hidden="1">#REF!</definedName>
    <definedName name="_Parse_In" localSheetId="14" hidden="1">#REF!</definedName>
    <definedName name="_Parse_In" localSheetId="8" hidden="1">#REF!</definedName>
    <definedName name="_Parse_In" hidden="1">#REF!</definedName>
    <definedName name="_Parse_Out" localSheetId="1" hidden="1">#REF!</definedName>
    <definedName name="_Parse_Out" localSheetId="14" hidden="1">#REF!</definedName>
    <definedName name="_Parse_Out" localSheetId="8" hidden="1">#REF!</definedName>
    <definedName name="_Parse_Out" hidden="1">#REF!</definedName>
    <definedName name="_pib2000" localSheetId="1">#REF!</definedName>
    <definedName name="_pib2000" localSheetId="8">#REF!</definedName>
    <definedName name="_pib2000">#REF!</definedName>
    <definedName name="_pib2001" localSheetId="1">#REF!</definedName>
    <definedName name="_pib2001" localSheetId="8">#REF!</definedName>
    <definedName name="_pib2001">#REF!</definedName>
    <definedName name="_pib2002" localSheetId="1">#REF!</definedName>
    <definedName name="_pib2002" localSheetId="8">#REF!</definedName>
    <definedName name="_pib2002">#REF!</definedName>
    <definedName name="_pib2003" localSheetId="1">#REF!</definedName>
    <definedName name="_pib2003" localSheetId="8">#REF!</definedName>
    <definedName name="_pib2003">#REF!</definedName>
    <definedName name="_pib98" localSheetId="1">[22]Programa!#REF!</definedName>
    <definedName name="_pib98" localSheetId="8">[22]Programa!#REF!</definedName>
    <definedName name="_pib98">[22]Programa!#REF!</definedName>
    <definedName name="_pib99" localSheetId="1">#REF!</definedName>
    <definedName name="_pib99" localSheetId="14">#REF!</definedName>
    <definedName name="_pib99" localSheetId="8">#REF!</definedName>
    <definedName name="_pib99">#REF!</definedName>
    <definedName name="_POR96" localSheetId="1">#REF!</definedName>
    <definedName name="_POR96" localSheetId="14">#REF!</definedName>
    <definedName name="_POR96" localSheetId="8">#REF!</definedName>
    <definedName name="_POR96">#REF!</definedName>
    <definedName name="_PRN96" localSheetId="1">#REF!</definedName>
    <definedName name="_PRN96" localSheetId="14">#REF!</definedName>
    <definedName name="_PRN96" localSheetId="8">#REF!</definedName>
    <definedName name="_PRN96">#REF!</definedName>
    <definedName name="_qqq1" localSheetId="14" hidden="1">{#N/A,#N/A,FALSE,"EXTRABUDGT"}</definedName>
    <definedName name="_qqq1" hidden="1">{#N/A,#N/A,FALSE,"EXTRABUDGT"}</definedName>
    <definedName name="_R">#N/A</definedName>
    <definedName name="_Regression_Int" hidden="1">1</definedName>
    <definedName name="_Regression_Out" localSheetId="1" hidden="1">#REF!</definedName>
    <definedName name="_Regression_Out" localSheetId="14" hidden="1">#REF!</definedName>
    <definedName name="_Regression_Out" localSheetId="8" hidden="1">#REF!</definedName>
    <definedName name="_Regression_Out" hidden="1">#REF!</definedName>
    <definedName name="_Regression_X" localSheetId="1" hidden="1">#REF!</definedName>
    <definedName name="_Regression_X" localSheetId="14" hidden="1">#REF!</definedName>
    <definedName name="_Regression_X" localSheetId="8" hidden="1">#REF!</definedName>
    <definedName name="_Regression_X" hidden="1">#REF!</definedName>
    <definedName name="_Regression_Y" localSheetId="1" hidden="1">#REF!</definedName>
    <definedName name="_Regression_Y" localSheetId="14" hidden="1">#REF!</definedName>
    <definedName name="_Regression_Y" localSheetId="8" hidden="1">#REF!</definedName>
    <definedName name="_Regression_Y" hidden="1">#REF!</definedName>
    <definedName name="_RES2" localSheetId="1">[32]RES!#REF!</definedName>
    <definedName name="_RES2" localSheetId="14">[32]RES!#REF!</definedName>
    <definedName name="_RES2" localSheetId="8">[32]RES!#REF!</definedName>
    <definedName name="_RES2">[32]RES!#REF!</definedName>
    <definedName name="_rge1" localSheetId="1">#REF!</definedName>
    <definedName name="_rge1" localSheetId="14">#REF!</definedName>
    <definedName name="_rge1" localSheetId="8">#REF!</definedName>
    <definedName name="_rge1">#REF!</definedName>
    <definedName name="_Sort" localSheetId="1" hidden="1">#REF!</definedName>
    <definedName name="_Sort" localSheetId="14" hidden="1">#REF!</definedName>
    <definedName name="_Sort" localSheetId="8" hidden="1">#REF!</definedName>
    <definedName name="_Sort" hidden="1">#REF!</definedName>
    <definedName name="_SP96" localSheetId="1">'[5]Prog-2011'!#REF!</definedName>
    <definedName name="_SP96" localSheetId="14">'[5]Prog-2011'!#REF!</definedName>
    <definedName name="_SP96" localSheetId="8">'[5]Prog-2011'!#REF!</definedName>
    <definedName name="_SP96">'[5]Prog-2011'!#REF!</definedName>
    <definedName name="_SP97" localSheetId="1">'[5]Prog-2011'!#REF!</definedName>
    <definedName name="_SP97" localSheetId="14">'[5]Prog-2011'!#REF!</definedName>
    <definedName name="_SP97" localSheetId="8">'[5]Prog-2011'!#REF!</definedName>
    <definedName name="_SP97">'[5]Prog-2011'!#REF!</definedName>
    <definedName name="_SRN96" localSheetId="1">#REF!</definedName>
    <definedName name="_SRN96" localSheetId="14">#REF!</definedName>
    <definedName name="_SRN96" localSheetId="8">#REF!</definedName>
    <definedName name="_SRN96">#REF!</definedName>
    <definedName name="_SRQ1" localSheetId="1">'[9]FLC Chimoré'!#REF!</definedName>
    <definedName name="_SRQ1" localSheetId="14">'[9]FLC Chimoré'!#REF!</definedName>
    <definedName name="_SRQ1" localSheetId="8">'[9]FLC Chimoré'!#REF!</definedName>
    <definedName name="_SRQ1">'[9]FLC Chimoré'!#REF!</definedName>
    <definedName name="_SRT11" localSheetId="14" hidden="1">{"Minpmon",#N/A,FALSE,"Monthinput"}</definedName>
    <definedName name="_SRT11" hidden="1">{"Minpmon",#N/A,FALSE,"Monthinput"}</definedName>
    <definedName name="_TAB1" localSheetId="1">#REF!</definedName>
    <definedName name="_TAB1" localSheetId="14">#REF!</definedName>
    <definedName name="_TAB1" localSheetId="8">#REF!</definedName>
    <definedName name="_TAB1">#REF!</definedName>
    <definedName name="_TAB10" localSheetId="1">#REF!</definedName>
    <definedName name="_TAB10" localSheetId="14">#REF!</definedName>
    <definedName name="_TAB10" localSheetId="8">#REF!</definedName>
    <definedName name="_TAB10">#REF!</definedName>
    <definedName name="_Tab11" localSheetId="1">#REF!</definedName>
    <definedName name="_Tab11" localSheetId="14">#REF!</definedName>
    <definedName name="_Tab11" localSheetId="8">#REF!</definedName>
    <definedName name="_Tab11">#REF!</definedName>
    <definedName name="_Tab12" localSheetId="1">#REF!</definedName>
    <definedName name="_Tab12" localSheetId="8">#REF!</definedName>
    <definedName name="_Tab12">#REF!</definedName>
    <definedName name="_Tab13" localSheetId="1">#REF!</definedName>
    <definedName name="_Tab13" localSheetId="8">#REF!</definedName>
    <definedName name="_Tab13">#REF!</definedName>
    <definedName name="_Tab14" localSheetId="1">#REF!</definedName>
    <definedName name="_Tab14" localSheetId="8">#REF!</definedName>
    <definedName name="_Tab14">#REF!</definedName>
    <definedName name="_Tab15" localSheetId="1">#REF!</definedName>
    <definedName name="_Tab15" localSheetId="8">#REF!</definedName>
    <definedName name="_Tab15">#REF!</definedName>
    <definedName name="_Tab17" localSheetId="1">#REF!</definedName>
    <definedName name="_Tab17" localSheetId="8">#REF!</definedName>
    <definedName name="_Tab17">#REF!</definedName>
    <definedName name="_Tab18" localSheetId="1">#REF!</definedName>
    <definedName name="_Tab18" localSheetId="8">#REF!</definedName>
    <definedName name="_Tab18">#REF!</definedName>
    <definedName name="_Tab19" localSheetId="1">#REF!</definedName>
    <definedName name="_Tab19" localSheetId="8">#REF!</definedName>
    <definedName name="_Tab19">#REF!</definedName>
    <definedName name="_Tab2" localSheetId="1">#REF!</definedName>
    <definedName name="_Tab2" localSheetId="8">#REF!</definedName>
    <definedName name="_Tab2">#REF!</definedName>
    <definedName name="_Tab20" localSheetId="1">#REF!</definedName>
    <definedName name="_Tab20" localSheetId="8">#REF!</definedName>
    <definedName name="_Tab20">#REF!</definedName>
    <definedName name="_Tab21" localSheetId="1">#REF!</definedName>
    <definedName name="_Tab21" localSheetId="8">#REF!</definedName>
    <definedName name="_Tab21">#REF!</definedName>
    <definedName name="_Tab22" localSheetId="1">#REF!</definedName>
    <definedName name="_Tab22" localSheetId="8">#REF!</definedName>
    <definedName name="_Tab22">#REF!</definedName>
    <definedName name="_Tab23" localSheetId="1">#REF!</definedName>
    <definedName name="_Tab23" localSheetId="8">#REF!</definedName>
    <definedName name="_Tab23">#REF!</definedName>
    <definedName name="_Tab24" localSheetId="1">#REF!</definedName>
    <definedName name="_Tab24" localSheetId="8">#REF!</definedName>
    <definedName name="_Tab24">#REF!</definedName>
    <definedName name="_Tab25" localSheetId="1">#REF!</definedName>
    <definedName name="_Tab25" localSheetId="8">#REF!</definedName>
    <definedName name="_Tab25">#REF!</definedName>
    <definedName name="_Tab26" localSheetId="1">#REF!</definedName>
    <definedName name="_Tab26" localSheetId="8">#REF!</definedName>
    <definedName name="_Tab26">#REF!</definedName>
    <definedName name="_Tab27" localSheetId="1">#REF!</definedName>
    <definedName name="_Tab27" localSheetId="8">#REF!</definedName>
    <definedName name="_Tab27">#REF!</definedName>
    <definedName name="_Tab28" localSheetId="1">#REF!</definedName>
    <definedName name="_Tab28" localSheetId="8">#REF!</definedName>
    <definedName name="_Tab28">#REF!</definedName>
    <definedName name="_Tab29" localSheetId="1">#REF!</definedName>
    <definedName name="_Tab29" localSheetId="8">#REF!</definedName>
    <definedName name="_Tab29">#REF!</definedName>
    <definedName name="_TAB3" localSheetId="1">#REF!</definedName>
    <definedName name="_TAB3" localSheetId="8">#REF!</definedName>
    <definedName name="_TAB3">#REF!</definedName>
    <definedName name="_Tab30" localSheetId="1">#REF!</definedName>
    <definedName name="_Tab30" localSheetId="8">#REF!</definedName>
    <definedName name="_Tab30">#REF!</definedName>
    <definedName name="_Tab31" localSheetId="1">#REF!</definedName>
    <definedName name="_Tab31" localSheetId="8">#REF!</definedName>
    <definedName name="_Tab31">#REF!</definedName>
    <definedName name="_Tab32" localSheetId="1">#REF!</definedName>
    <definedName name="_Tab32" localSheetId="8">#REF!</definedName>
    <definedName name="_Tab32">#REF!</definedName>
    <definedName name="_Tab33" localSheetId="1">#REF!</definedName>
    <definedName name="_Tab33" localSheetId="8">#REF!</definedName>
    <definedName name="_Tab33">#REF!</definedName>
    <definedName name="_Tab34" localSheetId="1">#REF!</definedName>
    <definedName name="_Tab34" localSheetId="8">#REF!</definedName>
    <definedName name="_Tab34">#REF!</definedName>
    <definedName name="_Tab35" localSheetId="1">#REF!</definedName>
    <definedName name="_Tab35" localSheetId="8">#REF!</definedName>
    <definedName name="_Tab35">#REF!</definedName>
    <definedName name="_Tab4" localSheetId="1">#REF!</definedName>
    <definedName name="_Tab4" localSheetId="8">#REF!</definedName>
    <definedName name="_Tab4">#REF!</definedName>
    <definedName name="_Tab5" localSheetId="1">#REF!</definedName>
    <definedName name="_Tab5" localSheetId="8">#REF!</definedName>
    <definedName name="_Tab5">#REF!</definedName>
    <definedName name="_Tab6" localSheetId="1">#REF!</definedName>
    <definedName name="_Tab6" localSheetId="8">#REF!</definedName>
    <definedName name="_Tab6">#REF!</definedName>
    <definedName name="_Tab7" localSheetId="1">#REF!</definedName>
    <definedName name="_Tab7" localSheetId="8">#REF!</definedName>
    <definedName name="_Tab7">#REF!</definedName>
    <definedName name="_Tab8" localSheetId="1">#REF!</definedName>
    <definedName name="_Tab8" localSheetId="8">#REF!</definedName>
    <definedName name="_Tab8">#REF!</definedName>
    <definedName name="_Tab9" localSheetId="1">#REF!</definedName>
    <definedName name="_Tab9" localSheetId="8">#REF!</definedName>
    <definedName name="_Tab9">#REF!</definedName>
    <definedName name="_TOT1" localSheetId="1">#REF!</definedName>
    <definedName name="_TOT1" localSheetId="8">#REF!</definedName>
    <definedName name="_TOT1">#REF!</definedName>
    <definedName name="_UES96" localSheetId="1">#REF!</definedName>
    <definedName name="_UES96" localSheetId="8">#REF!</definedName>
    <definedName name="_UES96">#REF!</definedName>
    <definedName name="_WEO1" localSheetId="1">#REF!</definedName>
    <definedName name="_WEO1" localSheetId="8">#REF!</definedName>
    <definedName name="_WEO1">#REF!</definedName>
    <definedName name="_WEO2" localSheetId="1">#REF!</definedName>
    <definedName name="_WEO2" localSheetId="8">#REF!</definedName>
    <definedName name="_WEO2">#REF!</definedName>
    <definedName name="A">[33]A!$R$95:$AG$165</definedName>
    <definedName name="A_IMPRESI_N_IM">[34]REER!$CA$2:$CM$291</definedName>
    <definedName name="A_impresión_IM" localSheetId="1">#REF!</definedName>
    <definedName name="A_impresión_IM" localSheetId="14">#REF!</definedName>
    <definedName name="A_impresión_IM" localSheetId="8">#REF!</definedName>
    <definedName name="A_impresión_IM">#REF!</definedName>
    <definedName name="A_IMPRESIÚN_IM" localSheetId="1">#REF!</definedName>
    <definedName name="A_IMPRESIÚN_IM" localSheetId="14">#REF!</definedName>
    <definedName name="A_IMPRESIÚN_IM" localSheetId="8">#REF!</definedName>
    <definedName name="A_IMPRESIÚN_IM">#REF!</definedName>
    <definedName name="À1" localSheetId="1">#REF!</definedName>
    <definedName name="À1" localSheetId="14">#REF!</definedName>
    <definedName name="À1" localSheetId="8">#REF!</definedName>
    <definedName name="À1">#REF!</definedName>
    <definedName name="AA">[35]A!$A$5:$P$93</definedName>
    <definedName name="AA__Contents_and_file_description" localSheetId="1">#REF!</definedName>
    <definedName name="AA__Contents_and_file_description" localSheetId="14">#REF!</definedName>
    <definedName name="AA__Contents_and_file_description" localSheetId="8">#REF!</definedName>
    <definedName name="AA__Contents_and_file_description">#REF!</definedName>
    <definedName name="AAA" localSheetId="1">#REF!</definedName>
    <definedName name="AAA" localSheetId="14">#REF!</definedName>
    <definedName name="AAA" localSheetId="8">#REF!</definedName>
    <definedName name="AAA">#REF!</definedName>
    <definedName name="aaaa" localSheetId="1">'[36]Ejecución 2004'!#REF!</definedName>
    <definedName name="aaaa" localSheetId="14">'[36]Ejecución 2004'!#REF!</definedName>
    <definedName name="aaaa" localSheetId="8">'[36]Ejecución 2004'!#REF!</definedName>
    <definedName name="aaaa">'[36]Ejecución 2004'!#REF!</definedName>
    <definedName name="aaaaa" localSheetId="1" hidden="1">[37]Retroactivos!#REF!</definedName>
    <definedName name="aaaaa" localSheetId="14" hidden="1">[37]Retroactivos!#REF!</definedName>
    <definedName name="aaaaa" localSheetId="8" hidden="1">[37]Retroactivos!#REF!</definedName>
    <definedName name="aaaaa" hidden="1">[37]Retroactivos!#REF!</definedName>
    <definedName name="aaaaaaaa" localSheetId="1">'[38]PAPE-98'!#REF!</definedName>
    <definedName name="aaaaaaaa" localSheetId="14">'[38]PAPE-98'!#REF!</definedName>
    <definedName name="aaaaaaaa" localSheetId="8">'[38]PAPE-98'!#REF!</definedName>
    <definedName name="aaaaaaaa">'[38]PAPE-98'!#REF!</definedName>
    <definedName name="AB">[35]A!$A$95:$P$183</definedName>
    <definedName name="abc" localSheetId="1" hidden="1">'[18]Eje 2004'!#REF!</definedName>
    <definedName name="abc" localSheetId="14" hidden="1">'[18]Eje 2004'!#REF!</definedName>
    <definedName name="abc" localSheetId="8" hidden="1">'[18]Eje 2004'!#REF!</definedName>
    <definedName name="abc" hidden="1">'[18]Eje 2004'!#REF!</definedName>
    <definedName name="abr" localSheetId="1">[22]Programa!#REF!</definedName>
    <definedName name="abr" localSheetId="14">[22]Programa!#REF!</definedName>
    <definedName name="abr" localSheetId="8">[22]Programa!#REF!</definedName>
    <definedName name="abr">[22]Programa!#REF!</definedName>
    <definedName name="AC">[35]A!$R$5:$AG$93</definedName>
    <definedName name="Accumulated_flows" localSheetId="1">[39]Program!#REF!</definedName>
    <definedName name="Accumulated_flows" localSheetId="14">[39]Program!#REF!</definedName>
    <definedName name="Accumulated_flows" localSheetId="8">[39]Program!#REF!</definedName>
    <definedName name="Accumulated_flows">[39]Program!#REF!</definedName>
    <definedName name="ACG">[40]CH!$B$16:$AK$64</definedName>
    <definedName name="ACL">[40]AN!$B$1:$AK$64</definedName>
    <definedName name="ACPAZ96" localSheetId="1">#REF!</definedName>
    <definedName name="ACPAZ96" localSheetId="14">#REF!</definedName>
    <definedName name="ACPAZ96" localSheetId="8">#REF!</definedName>
    <definedName name="ACPAZ96">#REF!</definedName>
    <definedName name="ACTIVATE" localSheetId="1">#REF!</definedName>
    <definedName name="ACTIVATE" localSheetId="14">#REF!</definedName>
    <definedName name="ACTIVATE" localSheetId="8">#REF!</definedName>
    <definedName name="ACTIVATE">#REF!</definedName>
    <definedName name="AD">[35]A!$R$95:$AG$165</definedName>
    <definedName name="Adb" localSheetId="1">[41]Terms!#REF!</definedName>
    <definedName name="Adb" localSheetId="14">[41]Terms!#REF!</definedName>
    <definedName name="Adb" localSheetId="8">[41]Terms!#REF!</definedName>
    <definedName name="Adb">[41]Terms!#REF!</definedName>
    <definedName name="ades" localSheetId="1">#REF!</definedName>
    <definedName name="ades" localSheetId="14">#REF!</definedName>
    <definedName name="ades" localSheetId="8">#REF!</definedName>
    <definedName name="ades">#REF!</definedName>
    <definedName name="Adf" localSheetId="1">[41]Terms!#REF!</definedName>
    <definedName name="Adf" localSheetId="14">[41]Terms!#REF!</definedName>
    <definedName name="Adf" localSheetId="8">[41]Terms!#REF!</definedName>
    <definedName name="Adf">[41]Terms!#REF!</definedName>
    <definedName name="AE">[35]C!$A$5:$P$93</definedName>
    <definedName name="AF">[35]C!$A$95:$P$183</definedName>
    <definedName name="AG">[35]C!$R$5:$AG$93</definedName>
    <definedName name="AGO" localSheetId="1">'[36]Ejecución 2004'!#REF!</definedName>
    <definedName name="AGO" localSheetId="14">'[36]Ejecución 2004'!#REF!</definedName>
    <definedName name="AGO" localSheetId="8">'[36]Ejecución 2004'!#REF!</definedName>
    <definedName name="AGO">'[36]Ejecución 2004'!#REF!</definedName>
    <definedName name="AH">[35]VM!$A$5:$P$113</definedName>
    <definedName name="ahme2000" localSheetId="1">#REF!</definedName>
    <definedName name="ahme2000" localSheetId="14">#REF!</definedName>
    <definedName name="ahme2000" localSheetId="8">#REF!</definedName>
    <definedName name="ahme2000">#REF!</definedName>
    <definedName name="ahme2001" localSheetId="1">#REF!</definedName>
    <definedName name="ahme2001" localSheetId="14">#REF!</definedName>
    <definedName name="ahme2001" localSheetId="8">#REF!</definedName>
    <definedName name="ahme2001">#REF!</definedName>
    <definedName name="ahme2002" localSheetId="1">#REF!</definedName>
    <definedName name="ahme2002" localSheetId="14">#REF!</definedName>
    <definedName name="ahme2002" localSheetId="8">#REF!</definedName>
    <definedName name="ahme2002">#REF!</definedName>
    <definedName name="ahme2003" localSheetId="1">#REF!</definedName>
    <definedName name="ahme2003" localSheetId="8">#REF!</definedName>
    <definedName name="ahme2003">#REF!</definedName>
    <definedName name="ahme98" localSheetId="1">[22]Programa!#REF!</definedName>
    <definedName name="ahme98" localSheetId="8">[22]Programa!#REF!</definedName>
    <definedName name="ahme98">[22]Programa!#REF!</definedName>
    <definedName name="ahme98s" localSheetId="1">#REF!</definedName>
    <definedName name="ahme98s" localSheetId="14">#REF!</definedName>
    <definedName name="ahme98s" localSheetId="8">#REF!</definedName>
    <definedName name="ahme98s">#REF!</definedName>
    <definedName name="ahme99" localSheetId="1">#REF!</definedName>
    <definedName name="ahme99" localSheetId="14">#REF!</definedName>
    <definedName name="ahme99" localSheetId="8">#REF!</definedName>
    <definedName name="ahme99">#REF!</definedName>
    <definedName name="ahome" localSheetId="1">#REF!</definedName>
    <definedName name="ahome" localSheetId="14">#REF!</definedName>
    <definedName name="ahome" localSheetId="8">#REF!</definedName>
    <definedName name="ahome">#REF!</definedName>
    <definedName name="ahome98" localSheetId="1">[22]Programa!#REF!</definedName>
    <definedName name="ahome98" localSheetId="14">[22]Programa!#REF!</definedName>
    <definedName name="ahome98" localSheetId="8">[22]Programa!#REF!</definedName>
    <definedName name="ahome98">[22]Programa!#REF!</definedName>
    <definedName name="ahome98j" localSheetId="1">[22]Programa!#REF!</definedName>
    <definedName name="ahome98j" localSheetId="14">[22]Programa!#REF!</definedName>
    <definedName name="ahome98j" localSheetId="8">[22]Programa!#REF!</definedName>
    <definedName name="ahome98j">[22]Programa!#REF!</definedName>
    <definedName name="ahorro" localSheetId="1">#REF!</definedName>
    <definedName name="ahorro" localSheetId="14">#REF!</definedName>
    <definedName name="ahorro" localSheetId="8">#REF!</definedName>
    <definedName name="ahorro">#REF!</definedName>
    <definedName name="ahorro2000" localSheetId="1">#REF!</definedName>
    <definedName name="ahorro2000" localSheetId="14">#REF!</definedName>
    <definedName name="ahorro2000" localSheetId="8">#REF!</definedName>
    <definedName name="ahorro2000">#REF!</definedName>
    <definedName name="ahorro2001" localSheetId="1">#REF!</definedName>
    <definedName name="ahorro2001" localSheetId="14">#REF!</definedName>
    <definedName name="ahorro2001" localSheetId="8">#REF!</definedName>
    <definedName name="ahorro2001">#REF!</definedName>
    <definedName name="ahorro2002" localSheetId="1">#REF!</definedName>
    <definedName name="ahorro2002" localSheetId="8">#REF!</definedName>
    <definedName name="ahorro2002">#REF!</definedName>
    <definedName name="ahorro2003" localSheetId="1">#REF!</definedName>
    <definedName name="ahorro2003" localSheetId="8">#REF!</definedName>
    <definedName name="ahorro2003">#REF!</definedName>
    <definedName name="ahorro98" localSheetId="1">[22]Programa!#REF!</definedName>
    <definedName name="ahorro98" localSheetId="8">[22]Programa!#REF!</definedName>
    <definedName name="ahorro98">[22]Programa!#REF!</definedName>
    <definedName name="ahorro98j" localSheetId="1">[22]Programa!#REF!</definedName>
    <definedName name="ahorro98j" localSheetId="8">[22]Programa!#REF!</definedName>
    <definedName name="ahorro98j">[22]Programa!#REF!</definedName>
    <definedName name="ahorro98s" localSheetId="1">#REF!</definedName>
    <definedName name="ahorro98s" localSheetId="14">#REF!</definedName>
    <definedName name="ahorro98s" localSheetId="8">#REF!</definedName>
    <definedName name="ahorro98s">#REF!</definedName>
    <definedName name="ahorro99" localSheetId="1">#REF!</definedName>
    <definedName name="ahorro99" localSheetId="14">#REF!</definedName>
    <definedName name="ahorro99" localSheetId="8">#REF!</definedName>
    <definedName name="ahorro99">#REF!</definedName>
    <definedName name="AI">[35]VM!$A$115:$P$204</definedName>
    <definedName name="aj" localSheetId="14" hidden="1">{"Riqfin97",#N/A,FALSE,"Tran";"Riqfinpro",#N/A,FALSE,"Tran"}</definedName>
    <definedName name="aj" hidden="1">{"Riqfin97",#N/A,FALSE,"Tran";"Riqfinpro",#N/A,FALSE,"Tran"}</definedName>
    <definedName name="al" localSheetId="14" hidden="1">{"Riqfin97",#N/A,FALSE,"Tran";"Riqfinpro",#N/A,FALSE,"Tran"}</definedName>
    <definedName name="al" hidden="1">{"Riqfin97",#N/A,FALSE,"Tran";"Riqfinpro",#N/A,FALSE,"Tran"}</definedName>
    <definedName name="ALL" localSheetId="1">[6]A!#REF!</definedName>
    <definedName name="ALL" localSheetId="8">[6]A!#REF!</definedName>
    <definedName name="ALL">[6]A!#REF!</definedName>
    <definedName name="AM">[33]A!$R$5:$AG$93</definedName>
    <definedName name="amort" localSheetId="1">#REF!</definedName>
    <definedName name="amort" localSheetId="14">#REF!</definedName>
    <definedName name="amort" localSheetId="8">#REF!</definedName>
    <definedName name="amort">#REF!</definedName>
    <definedName name="Amorti" localSheetId="1">#REF!</definedName>
    <definedName name="Amorti" localSheetId="14">#REF!</definedName>
    <definedName name="Amorti" localSheetId="8">#REF!</definedName>
    <definedName name="Amorti">#REF!</definedName>
    <definedName name="amount" localSheetId="1">#REF!</definedName>
    <definedName name="amount" localSheetId="14">#REF!</definedName>
    <definedName name="amount" localSheetId="8">#REF!</definedName>
    <definedName name="amount">#REF!</definedName>
    <definedName name="AND">[42]ACL!$A$1:$AJ$64</definedName>
    <definedName name="ANDA96" localSheetId="1">#REF!</definedName>
    <definedName name="ANDA96" localSheetId="14">#REF!</definedName>
    <definedName name="ANDA96" localSheetId="8">#REF!</definedName>
    <definedName name="ANDA96">#REF!</definedName>
    <definedName name="ANTEL96" localSheetId="1">#REF!</definedName>
    <definedName name="ANTEL96" localSheetId="14">#REF!</definedName>
    <definedName name="ANTEL96" localSheetId="8">#REF!</definedName>
    <definedName name="ANTEL96">#REF!</definedName>
    <definedName name="AÑO_1999" localSheetId="1">#REF!</definedName>
    <definedName name="AÑO_1999" localSheetId="14">#REF!</definedName>
    <definedName name="AÑO_1999" localSheetId="8">#REF!</definedName>
    <definedName name="AÑO_1999">#REF!</definedName>
    <definedName name="Aplicación" localSheetId="1">#REF!</definedName>
    <definedName name="Aplicación" localSheetId="8">#REF!</definedName>
    <definedName name="Aplicación">#REF!</definedName>
    <definedName name="Aplicación_Ppto_Adicional_2013" localSheetId="1">#REF!</definedName>
    <definedName name="Aplicación_Ppto_Adicional_2013" localSheetId="8">#REF!</definedName>
    <definedName name="Aplicación_Ppto_Adicional_2013">#REF!</definedName>
    <definedName name="Area_a_imprimir" localSheetId="1">#REF!</definedName>
    <definedName name="Area_a_imprimir" localSheetId="8">#REF!</definedName>
    <definedName name="Area_a_imprimir">#REF!</definedName>
    <definedName name="_xlnm.Extract" localSheetId="1">'[43]2005OEC'!#REF!</definedName>
    <definedName name="_xlnm.Extract" localSheetId="8">'[43]2005OEC'!#REF!</definedName>
    <definedName name="_xlnm.Extract">'[43]2005OEC'!#REF!</definedName>
    <definedName name="_xlnm.Print_Area" localSheetId="0">'Form 1.1'!$A$1:$V$28</definedName>
    <definedName name="_xlnm.Print_Area" localSheetId="1">'Form 1.2'!$A$1:$R$28</definedName>
    <definedName name="_xlnm.Print_Area" localSheetId="14">'Form 10'!$A$2:$N$26</definedName>
    <definedName name="_xlnm.Print_Area" localSheetId="15">'Form 11'!$B$2:$J$33</definedName>
    <definedName name="_xlnm.Print_Area" localSheetId="16">'Form 12'!$A$1:$P$51</definedName>
    <definedName name="_xlnm.Print_Area" localSheetId="17">'Form 13'!$A$1:$L$47</definedName>
    <definedName name="_xlnm.Print_Area" localSheetId="6">'Form 2.1'!$A$1:$N$41</definedName>
    <definedName name="_xlnm.Print_Area" localSheetId="7">'Form 2.2'!$A$1:$O$35</definedName>
    <definedName name="_xlnm.Print_Area" localSheetId="8">'Form 3'!$A$1:$L$26</definedName>
    <definedName name="_xlnm.Print_Area" localSheetId="9">'Form 5'!$A$1:$O$27</definedName>
    <definedName name="_xlnm.Print_Area" localSheetId="10">'Form 6'!$A$1:$P$34</definedName>
    <definedName name="_xlnm.Print_Area" localSheetId="11">'Form 7'!$A$2:$M$33</definedName>
    <definedName name="_xlnm.Print_Area" localSheetId="13">'Form 8'!$B$1:$T$50</definedName>
    <definedName name="_xlnm.Print_Area" localSheetId="12">'Form 9'!$B$1:$T$47</definedName>
    <definedName name="_xlnm.Print_Area" localSheetId="3">'OPERACIONES Y TAREAS'!$B:$J</definedName>
    <definedName name="areor" localSheetId="1">#REF!</definedName>
    <definedName name="areor" localSheetId="14">#REF!</definedName>
    <definedName name="areor" localSheetId="8">#REF!</definedName>
    <definedName name="areor">#REF!</definedName>
    <definedName name="AS">[33]VM!$A$115:$P$204</definedName>
    <definedName name="asas" localSheetId="1">#REF!</definedName>
    <definedName name="asas" localSheetId="14">#REF!</definedName>
    <definedName name="asas" localSheetId="8">#REF!</definedName>
    <definedName name="asas">#REF!</definedName>
    <definedName name="asddv" localSheetId="1">#REF!</definedName>
    <definedName name="asddv" localSheetId="14">#REF!</definedName>
    <definedName name="asddv" localSheetId="8">#REF!</definedName>
    <definedName name="asddv">#REF!</definedName>
    <definedName name="ASDQWE">#N/A</definedName>
    <definedName name="ASDSAD" localSheetId="1">#REF!</definedName>
    <definedName name="ASDSAD" localSheetId="14">#REF!</definedName>
    <definedName name="ASDSAD" localSheetId="8">#REF!</definedName>
    <definedName name="ASDSAD">#REF!</definedName>
    <definedName name="ASFESTAQRT" localSheetId="1">#REF!</definedName>
    <definedName name="ASFESTAQRT" localSheetId="14">#REF!</definedName>
    <definedName name="ASFESTAQRT" localSheetId="8">#REF!</definedName>
    <definedName name="ASFESTAQRT">#REF!</definedName>
    <definedName name="atrade" localSheetId="1">[44]!atrade</definedName>
    <definedName name="atrade" localSheetId="14">[44]!atrade</definedName>
    <definedName name="atrade" localSheetId="8">[44]!atrade</definedName>
    <definedName name="atrade">[44]!atrade</definedName>
    <definedName name="Auto_Open" localSheetId="1">#REF!</definedName>
    <definedName name="Auto_Open" localSheetId="14">#REF!</definedName>
    <definedName name="Auto_Open" localSheetId="8">#REF!</definedName>
    <definedName name="Auto_Open">#REF!</definedName>
    <definedName name="AYUDA1">'[45]PAG-28'!$BJ$90:$BN$115</definedName>
    <definedName name="AYUDA2">'[3]PAG-28'!$BJ$118:$BN$144</definedName>
    <definedName name="AYUDA3">'[3]PAG-28'!$BJ$148:$BO$176</definedName>
    <definedName name="b">[33]A!$R$95:$AG$165</definedName>
    <definedName name="B_S" localSheetId="1">#REF!</definedName>
    <definedName name="B_S" localSheetId="14">#REF!</definedName>
    <definedName name="B_S" localSheetId="8">#REF!</definedName>
    <definedName name="B_S">#REF!</definedName>
    <definedName name="Badea" localSheetId="1">[41]Terms!#REF!</definedName>
    <definedName name="Badea" localSheetId="14">[41]Terms!#REF!</definedName>
    <definedName name="Badea" localSheetId="8">[41]Terms!#REF!</definedName>
    <definedName name="Badea">[41]Terms!#REF!</definedName>
    <definedName name="balance">[46]index!$N$11:$O$547</definedName>
    <definedName name="Banco_Union" localSheetId="1">[47]listas!#REF!</definedName>
    <definedName name="Banco_Union" localSheetId="14">[47]listas!#REF!</definedName>
    <definedName name="Banco_Union" localSheetId="8">[47]listas!#REF!</definedName>
    <definedName name="Banco_Union">[47]listas!#REF!</definedName>
    <definedName name="bancos" localSheetId="1">#REF!</definedName>
    <definedName name="bancos" localSheetId="14">#REF!</definedName>
    <definedName name="bancos" localSheetId="8">#REF!</definedName>
    <definedName name="bancos">#REF!</definedName>
    <definedName name="BANCOS_COMERCIALES" localSheetId="1">#REF!</definedName>
    <definedName name="BANCOS_COMERCIALES" localSheetId="14">#REF!</definedName>
    <definedName name="BANCOS_COMERCIALES" localSheetId="8">#REF!</definedName>
    <definedName name="BANCOS_COMERCIALES">#REF!</definedName>
    <definedName name="Bank_soundness" localSheetId="1">#REF!</definedName>
    <definedName name="Bank_soundness" localSheetId="14">#REF!</definedName>
    <definedName name="Bank_soundness" localSheetId="8">#REF!</definedName>
    <definedName name="Bank_soundness">#REF!</definedName>
    <definedName name="BARRILES">[48]DATOS!$H$1</definedName>
    <definedName name="BASDAT" localSheetId="1">'[30]Annual Tables'!#REF!</definedName>
    <definedName name="BASDAT" localSheetId="14">'[30]Annual Tables'!#REF!</definedName>
    <definedName name="BASDAT" localSheetId="8">'[30]Annual Tables'!#REF!</definedName>
    <definedName name="BASDAT">'[30]Annual Tables'!#REF!</definedName>
    <definedName name="BaseYear" localSheetId="1">#REF!</definedName>
    <definedName name="BaseYear" localSheetId="14">#REF!</definedName>
    <definedName name="BaseYear" localSheetId="8">#REF!</definedName>
    <definedName name="BaseYear">#REF!</definedName>
    <definedName name="Basic_Data" localSheetId="1">#REF!</definedName>
    <definedName name="Basic_Data" localSheetId="14">#REF!</definedName>
    <definedName name="Basic_Data" localSheetId="8">#REF!</definedName>
    <definedName name="Basic_Data">#REF!</definedName>
    <definedName name="BB">[35]VM!$A$115:$P$204</definedName>
    <definedName name="BB__Data_Exports_from_Real__Sector_File" localSheetId="1">#REF!</definedName>
    <definedName name="BB__Data_Exports_from_Real__Sector_File" localSheetId="14">#REF!</definedName>
    <definedName name="BB__Data_Exports_from_Real__Sector_File" localSheetId="8">#REF!</definedName>
    <definedName name="BB__Data_Exports_from_Real__Sector_File">#REF!</definedName>
    <definedName name="BB__Data_Imports_from_BOP_File" localSheetId="1">#REF!</definedName>
    <definedName name="BB__Data_Imports_from_BOP_File" localSheetId="14">#REF!</definedName>
    <definedName name="BB__Data_Imports_from_BOP_File" localSheetId="8">#REF!</definedName>
    <definedName name="BB__Data_Imports_from_BOP_File">#REF!</definedName>
    <definedName name="BB__Data_Imports_from_Fiscal_File" localSheetId="1">#REF!</definedName>
    <definedName name="BB__Data_Imports_from_Fiscal_File" localSheetId="14">#REF!</definedName>
    <definedName name="BB__Data_Imports_from_Fiscal_File" localSheetId="8">#REF!</definedName>
    <definedName name="BB__Data_Imports_from_Fiscal_File">#REF!</definedName>
    <definedName name="BB__Data_Imports_from_Monetary_File" localSheetId="1">#REF!</definedName>
    <definedName name="BB__Data_Imports_from_Monetary_File" localSheetId="8">#REF!</definedName>
    <definedName name="BB__Data_Imports_from_Monetary_File">#REF!</definedName>
    <definedName name="BB__Data_inputs_for_projections" localSheetId="1">#REF!</definedName>
    <definedName name="BB__Data_inputs_for_projections" localSheetId="8">#REF!</definedName>
    <definedName name="BB__Data_inputs_for_projections">#REF!</definedName>
    <definedName name="bbbb" localSheetId="14" hidden="1">{"Minpmon",#N/A,FALSE,"Monthinput"}</definedName>
    <definedName name="bbbb" hidden="1">{"Minpmon",#N/A,FALSE,"Monthinput"}</definedName>
    <definedName name="bbbbbbbbbbbbb" localSheetId="14" hidden="1">{"Tab1",#N/A,FALSE,"P";"Tab2",#N/A,FALSE,"P"}</definedName>
    <definedName name="bbbbbbbbbbbbb" hidden="1">{"Tab1",#N/A,FALSE,"P";"Tab2",#N/A,FALSE,"P"}</definedName>
    <definedName name="bbbbbbbbbbbbbbbbbbbbbbbbbbbbbbbbbbbb" localSheetId="1">'[38]PAPE-98'!#REF!</definedName>
    <definedName name="bbbbbbbbbbbbbbbbbbbbbbbbbbbbbbbbbbbb" localSheetId="8">'[38]PAPE-98'!#REF!</definedName>
    <definedName name="bbbbbbbbbbbbbbbbbbbbbbbbbbbbbbbbbbbb">'[38]PAPE-98'!#REF!</definedName>
    <definedName name="BBL" localSheetId="1">#REF!</definedName>
    <definedName name="BBL" localSheetId="14">#REF!</definedName>
    <definedName name="BBL" localSheetId="8">#REF!</definedName>
    <definedName name="BBL">#REF!</definedName>
    <definedName name="BCA">[49]Q6!$E$9:$AH$9</definedName>
    <definedName name="BCA_GDP">#N/A</definedName>
    <definedName name="BCB_Balance" localSheetId="1">#REF!</definedName>
    <definedName name="BCB_Balance" localSheetId="14">#REF!</definedName>
    <definedName name="BCB_Balance" localSheetId="8">#REF!</definedName>
    <definedName name="BCB_Balance">#REF!</definedName>
    <definedName name="bcos" localSheetId="1">#REF!</definedName>
    <definedName name="bcos" localSheetId="14">#REF!</definedName>
    <definedName name="bcos" localSheetId="8">#REF!</definedName>
    <definedName name="bcos">#REF!</definedName>
    <definedName name="bcr" localSheetId="1">'[50]Ejecución 2004'!#REF!</definedName>
    <definedName name="bcr" localSheetId="14">'[50]Ejecución 2004'!#REF!</definedName>
    <definedName name="bcr" localSheetId="8">'[50]Ejecución 2004'!#REF!</definedName>
    <definedName name="bcr">'[50]Ejecución 2004'!#REF!</definedName>
    <definedName name="BE">#N/A</definedName>
    <definedName name="BEAI">#N/A</definedName>
    <definedName name="BEAIB">#N/A</definedName>
    <definedName name="BEAIG">#N/A</definedName>
    <definedName name="BEAP">#N/A</definedName>
    <definedName name="BEAPB">#N/A</definedName>
    <definedName name="BEAPG">#N/A</definedName>
    <definedName name="BEDE" localSheetId="1">#REF!</definedName>
    <definedName name="BEDE" localSheetId="14">#REF!</definedName>
    <definedName name="BEDE" localSheetId="8">#REF!</definedName>
    <definedName name="BEDE">#REF!</definedName>
    <definedName name="Beg_Bal" localSheetId="1">#REF!</definedName>
    <definedName name="Beg_Bal" localSheetId="14">#REF!</definedName>
    <definedName name="Beg_Bal" localSheetId="8">#REF!</definedName>
    <definedName name="Beg_Bal">#REF!</definedName>
    <definedName name="bEG_bol" localSheetId="1">#REF!</definedName>
    <definedName name="bEG_bol" localSheetId="14">#REF!</definedName>
    <definedName name="bEG_bol" localSheetId="8">#REF!</definedName>
    <definedName name="bEG_bol">#REF!</definedName>
    <definedName name="Bei" localSheetId="1">[41]Terms!#REF!</definedName>
    <definedName name="Bei" localSheetId="14">[41]Terms!#REF!</definedName>
    <definedName name="Bei" localSheetId="8">[41]Terms!#REF!</definedName>
    <definedName name="Bei">[41]Terms!#REF!</definedName>
    <definedName name="bem" localSheetId="1">[22]Programa!#REF!</definedName>
    <definedName name="bem" localSheetId="14">[22]Programa!#REF!</definedName>
    <definedName name="bem" localSheetId="8">[22]Programa!#REF!</definedName>
    <definedName name="bem">[22]Programa!#REF!</definedName>
    <definedName name="BERI">#N/A</definedName>
    <definedName name="BERIB">#N/A</definedName>
    <definedName name="BERIG">#N/A</definedName>
    <definedName name="BERP">#N/A</definedName>
    <definedName name="BERPB">#N/A</definedName>
    <definedName name="BERPG">#N/A</definedName>
    <definedName name="bf" localSheetId="1">#REF!</definedName>
    <definedName name="bf" localSheetId="14">#REF!</definedName>
    <definedName name="bf" localSheetId="8">#REF!</definedName>
    <definedName name="bf">#REF!</definedName>
    <definedName name="BFL">#N/A</definedName>
    <definedName name="BFL_D">#N/A</definedName>
    <definedName name="BFL_DF">#N/A</definedName>
    <definedName name="BFLB">#N/A</definedName>
    <definedName name="BFLB_D">#N/A</definedName>
    <definedName name="BFLB_DF">#N/A</definedName>
    <definedName name="BFLD_DF">#N/A</definedName>
    <definedName name="BFLG">#N/A</definedName>
    <definedName name="BFLG_D">#N/A</definedName>
    <definedName name="BFLG_DF">#N/A</definedName>
    <definedName name="BFRA">#N/A</definedName>
    <definedName name="BI">#N/A</definedName>
    <definedName name="Bisa" localSheetId="1">[47]listas!#REF!</definedName>
    <definedName name="Bisa" localSheetId="14">[47]listas!#REF!</definedName>
    <definedName name="Bisa" localSheetId="8">[47]listas!#REF!</definedName>
    <definedName name="Bisa">[47]listas!#REF!</definedName>
    <definedName name="BK">#N/A</definedName>
    <definedName name="BKF">#N/A</definedName>
    <definedName name="Block">'[51]2s'!$AE$1</definedName>
    <definedName name="BMG">[52]Q6!$E$27:$AH$27</definedName>
    <definedName name="BMII">[52]Q6!$E$40:$AH$40</definedName>
    <definedName name="BMIIB">#N/A</definedName>
    <definedName name="BMIIG">#N/A</definedName>
    <definedName name="BMS">[52]Q6!$E$29:$AH$29</definedName>
    <definedName name="BNB" localSheetId="1">[47]listas!#REF!</definedName>
    <definedName name="BNB" localSheetId="14">[47]listas!#REF!</definedName>
    <definedName name="BNB" localSheetId="8">[47]listas!#REF!</definedName>
    <definedName name="BNB">[47]listas!#REF!</definedName>
    <definedName name="BO" localSheetId="1">#REF!</definedName>
    <definedName name="BO" localSheetId="14">#REF!</definedName>
    <definedName name="BO" localSheetId="8">#REF!</definedName>
    <definedName name="BO">#REF!</definedName>
    <definedName name="Bolivia" localSheetId="1">#REF!</definedName>
    <definedName name="Bolivia" localSheetId="14">#REF!</definedName>
    <definedName name="Bolivia" localSheetId="8">#REF!</definedName>
    <definedName name="Bolivia">#REF!</definedName>
    <definedName name="booktables.a">[53]Booktables!$M$5:$AO$1429</definedName>
    <definedName name="booktables.b">[54]Booktables!$AP$5:$AP$1429</definedName>
    <definedName name="booktables.c">[54]Booktables!$AQ$5:$BB$1429</definedName>
    <definedName name="BOP" localSheetId="1">#REF!</definedName>
    <definedName name="BOP" localSheetId="14">#REF!</definedName>
    <definedName name="BOP" localSheetId="8">#REF!</definedName>
    <definedName name="BOP">#REF!</definedName>
    <definedName name="BOP_Q96" localSheetId="1">#REF!</definedName>
    <definedName name="BOP_Q96" localSheetId="14">#REF!</definedName>
    <definedName name="BOP_Q96" localSheetId="8">#REF!</definedName>
    <definedName name="BOP_Q96">#REF!</definedName>
    <definedName name="BOP_Q97" localSheetId="1">#REF!</definedName>
    <definedName name="BOP_Q97" localSheetId="14">#REF!</definedName>
    <definedName name="BOP_Q97" localSheetId="8">#REF!</definedName>
    <definedName name="BOP_Q97">#REF!</definedName>
    <definedName name="BOP_SUM" localSheetId="1">#REF!</definedName>
    <definedName name="BOP_SUM" localSheetId="8">#REF!</definedName>
    <definedName name="BOP_SUM">#REF!</definedName>
    <definedName name="BOPF" localSheetId="1">#REF!</definedName>
    <definedName name="BOPF" localSheetId="8">#REF!</definedName>
    <definedName name="BOPF">#REF!</definedName>
    <definedName name="Brazil" localSheetId="1">#REF!</definedName>
    <definedName name="Brazil" localSheetId="8">#REF!</definedName>
    <definedName name="Brazil">#REF!</definedName>
    <definedName name="brigitte" localSheetId="1">#REF!</definedName>
    <definedName name="brigitte" localSheetId="8">#REF!</definedName>
    <definedName name="brigitte">#REF!</definedName>
    <definedName name="BTB">'[55]GSA Price'!$B$3:$D$23</definedName>
    <definedName name="BTU">[56]DGL!$AF$87:$AU$135</definedName>
    <definedName name="BTUD">[56]DGL!$AF$139:$AU$187</definedName>
    <definedName name="Budget_expenditure" localSheetId="1">#REF!</definedName>
    <definedName name="Budget_expenditure" localSheetId="14">#REF!</definedName>
    <definedName name="Budget_expenditure" localSheetId="8">#REF!</definedName>
    <definedName name="Budget_expenditure">#REF!</definedName>
    <definedName name="Budget_revenue" localSheetId="1">#REF!</definedName>
    <definedName name="Budget_revenue" localSheetId="14">#REF!</definedName>
    <definedName name="Budget_revenue" localSheetId="8">#REF!</definedName>
    <definedName name="Budget_revenue">#REF!</definedName>
    <definedName name="BULU" localSheetId="1">#REF!</definedName>
    <definedName name="BULU" localSheetId="14">#REF!</definedName>
    <definedName name="BULU" localSheetId="8">#REF!</definedName>
    <definedName name="BULU">#REF!</definedName>
    <definedName name="BXG">[52]Q6!$E$19:$AH$19</definedName>
    <definedName name="BXS">[52]Q6!$E$21:$AH$21</definedName>
    <definedName name="C_" localSheetId="1">#REF!</definedName>
    <definedName name="C_" localSheetId="14">#REF!</definedName>
    <definedName name="C_" localSheetId="8">#REF!</definedName>
    <definedName name="C_">#REF!</definedName>
    <definedName name="ÇA" localSheetId="1">#REF!</definedName>
    <definedName name="ÇA" localSheetId="14">#REF!</definedName>
    <definedName name="ÇA" localSheetId="8">#REF!</definedName>
    <definedName name="ÇA">#REF!</definedName>
    <definedName name="CAJA" localSheetId="1">#REF!</definedName>
    <definedName name="CAJA" localSheetId="14">#REF!</definedName>
    <definedName name="CAJA" localSheetId="8">#REF!</definedName>
    <definedName name="CAJA">#REF!</definedName>
    <definedName name="calcNGS_NGDP">#N/A</definedName>
    <definedName name="CAM" localSheetId="1">#REF!</definedName>
    <definedName name="CAM" localSheetId="14">#REF!</definedName>
    <definedName name="CAM" localSheetId="8">#REF!</definedName>
    <definedName name="CAM">#REF!</definedName>
    <definedName name="CAMBEITI" localSheetId="1">#REF!</definedName>
    <definedName name="CAMBEITI" localSheetId="14">#REF!</definedName>
    <definedName name="CAMBEITI" localSheetId="8">#REF!</definedName>
    <definedName name="CAMBEITI">#REF!</definedName>
    <definedName name="CAT" localSheetId="1">#REF!</definedName>
    <definedName name="CAT" localSheetId="14">#REF!</definedName>
    <definedName name="CAT" localSheetId="8">#REF!</definedName>
    <definedName name="CAT">#REF!</definedName>
    <definedName name="CBB" localSheetId="1">#REF!</definedName>
    <definedName name="CBB" localSheetId="8">#REF!</definedName>
    <definedName name="CBB">#REF!</definedName>
    <definedName name="cc" localSheetId="14" hidden="1">{"Riqfin97",#N/A,FALSE,"Tran";"Riqfinpro",#N/A,FALSE,"Tran"}</definedName>
    <definedName name="cc" hidden="1">{"Riqfin97",#N/A,FALSE,"Tran";"Riqfinpro",#N/A,FALSE,"Tran"}</definedName>
    <definedName name="CC_1" localSheetId="1">#REF!</definedName>
    <definedName name="CC_1" localSheetId="14">#REF!</definedName>
    <definedName name="CC_1" localSheetId="8">#REF!</definedName>
    <definedName name="CC_1">#REF!</definedName>
    <definedName name="CC_1__CPI_data" localSheetId="1">#REF!</definedName>
    <definedName name="CC_1__CPI_data" localSheetId="14">#REF!</definedName>
    <definedName name="CC_1__CPI_data" localSheetId="8">#REF!</definedName>
    <definedName name="CC_1__CPI_data">#REF!</definedName>
    <definedName name="CC_1__GDP_by_Final_Demand_Component" localSheetId="1">#REF!</definedName>
    <definedName name="CC_1__GDP_by_Final_Demand_Component" localSheetId="14">#REF!</definedName>
    <definedName name="CC_1__GDP_by_Final_Demand_Component" localSheetId="8">#REF!</definedName>
    <definedName name="CC_1__GDP_by_Final_Demand_Component">#REF!</definedName>
    <definedName name="CC_1__Gross_Domestic_Investment" localSheetId="1">#REF!</definedName>
    <definedName name="CC_1__Gross_Domestic_Investment" localSheetId="8">#REF!</definedName>
    <definedName name="CC_1__Gross_Domestic_Investment">#REF!</definedName>
    <definedName name="CC_1__National_Income_at_current_prices" localSheetId="1">#REF!</definedName>
    <definedName name="CC_1__National_Income_at_current_prices" localSheetId="8">#REF!</definedName>
    <definedName name="CC_1__National_Income_at_current_prices">#REF!</definedName>
    <definedName name="CC_1__Real_GDP_by_Sector" localSheetId="1">#REF!</definedName>
    <definedName name="CC_1__Real_GDP_by_Sector" localSheetId="8">#REF!</definedName>
    <definedName name="CC_1__Real_GDP_by_Sector">#REF!</definedName>
    <definedName name="CC_1__Selected_Wage_Indicators" localSheetId="1">#REF!</definedName>
    <definedName name="CC_1__Selected_Wage_Indicators" localSheetId="8">#REF!</definedName>
    <definedName name="CC_1__Selected_Wage_Indicators">#REF!</definedName>
    <definedName name="CC_1__Statistics_Agriculture" localSheetId="1">#REF!</definedName>
    <definedName name="CC_1__Statistics_Agriculture" localSheetId="8">#REF!</definedName>
    <definedName name="CC_1__Statistics_Agriculture">#REF!</definedName>
    <definedName name="CC_1__Statistics_Manufacturing_Production" localSheetId="1">#REF!</definedName>
    <definedName name="CC_1__Statistics_Manufacturing_Production" localSheetId="8">#REF!</definedName>
    <definedName name="CC_1__Statistics_Manufacturing_Production">#REF!</definedName>
    <definedName name="CC_2" localSheetId="1">#REF!</definedName>
    <definedName name="CC_2" localSheetId="8">#REF!</definedName>
    <definedName name="CC_2">#REF!</definedName>
    <definedName name="ccbccr" localSheetId="1">#REF!</definedName>
    <definedName name="ccbccr" localSheetId="8">#REF!</definedName>
    <definedName name="ccbccr">#REF!</definedName>
    <definedName name="ccc" localSheetId="1">'[36]Ejecución 2004'!#REF!</definedName>
    <definedName name="ccc" localSheetId="8">'[36]Ejecución 2004'!#REF!</definedName>
    <definedName name="ccc">'[36]Ejecución 2004'!#REF!</definedName>
    <definedName name="cccc">#N/A</definedName>
    <definedName name="ccccc" localSheetId="14" hidden="1">{"Minpmon",#N/A,FALSE,"Monthinput"}</definedName>
    <definedName name="ccccc" hidden="1">{"Minpmon",#N/A,FALSE,"Monthinput"}</definedName>
    <definedName name="cccccccccccccc" localSheetId="14" hidden="1">{"Tab1",#N/A,FALSE,"P";"Tab2",#N/A,FALSE,"P"}</definedName>
    <definedName name="cccccccccccccc" hidden="1">{"Tab1",#N/A,FALSE,"P";"Tab2",#N/A,FALSE,"P"}</definedName>
    <definedName name="cccm" localSheetId="14" hidden="1">{"Riqfin97",#N/A,FALSE,"Tran";"Riqfinpro",#N/A,FALSE,"Tran"}</definedName>
    <definedName name="cccm" hidden="1">{"Riqfin97",#N/A,FALSE,"Tran";"Riqfinpro",#N/A,FALSE,"Tran"}</definedName>
    <definedName name="ccme" localSheetId="1">#REF!</definedName>
    <definedName name="ccme" localSheetId="14">#REF!</definedName>
    <definedName name="ccme" localSheetId="8">#REF!</definedName>
    <definedName name="ccme">#REF!</definedName>
    <definedName name="ccme2000" localSheetId="1">#REF!</definedName>
    <definedName name="ccme2000" localSheetId="14">#REF!</definedName>
    <definedName name="ccme2000" localSheetId="8">#REF!</definedName>
    <definedName name="ccme2000">#REF!</definedName>
    <definedName name="ccme2001" localSheetId="1">#REF!</definedName>
    <definedName name="ccme2001" localSheetId="14">#REF!</definedName>
    <definedName name="ccme2001" localSheetId="8">#REF!</definedName>
    <definedName name="ccme2001">#REF!</definedName>
    <definedName name="ccme2002" localSheetId="1">#REF!</definedName>
    <definedName name="ccme2002" localSheetId="8">#REF!</definedName>
    <definedName name="ccme2002">#REF!</definedName>
    <definedName name="ccme2003" localSheetId="1">#REF!</definedName>
    <definedName name="ccme2003" localSheetId="8">#REF!</definedName>
    <definedName name="ccme2003">#REF!</definedName>
    <definedName name="ccme98" localSheetId="1">[22]Programa!#REF!</definedName>
    <definedName name="ccme98" localSheetId="8">[22]Programa!#REF!</definedName>
    <definedName name="ccme98">[22]Programa!#REF!</definedName>
    <definedName name="ccme98j" localSheetId="1">[22]Programa!#REF!</definedName>
    <definedName name="ccme98j" localSheetId="8">[22]Programa!#REF!</definedName>
    <definedName name="ccme98j">[22]Programa!#REF!</definedName>
    <definedName name="ccme98s" localSheetId="1">#REF!</definedName>
    <definedName name="ccme98s" localSheetId="14">#REF!</definedName>
    <definedName name="ccme98s" localSheetId="8">#REF!</definedName>
    <definedName name="ccme98s">#REF!</definedName>
    <definedName name="ccme99" localSheetId="1">#REF!</definedName>
    <definedName name="ccme99" localSheetId="14">#REF!</definedName>
    <definedName name="ccme99" localSheetId="8">#REF!</definedName>
    <definedName name="ccme99">#REF!</definedName>
    <definedName name="CCODE" localSheetId="1">#REF!</definedName>
    <definedName name="CCODE" localSheetId="14">#REF!</definedName>
    <definedName name="CCODE" localSheetId="8">#REF!</definedName>
    <definedName name="CCODE">#REF!</definedName>
    <definedName name="cde" localSheetId="14" hidden="1">{"Riqfin97",#N/A,FALSE,"Tran";"Riqfinpro",#N/A,FALSE,"Tran"}</definedName>
    <definedName name="cde" hidden="1">{"Riqfin97",#N/A,FALSE,"Tran";"Riqfinpro",#N/A,FALSE,"Tran"}</definedName>
    <definedName name="cEMATE" localSheetId="1">#REF!</definedName>
    <definedName name="cEMATE" localSheetId="14">#REF!</definedName>
    <definedName name="cEMATE" localSheetId="8">#REF!</definedName>
    <definedName name="cEMATE">#REF!</definedName>
    <definedName name="CENGOVT" localSheetId="1">#REF!</definedName>
    <definedName name="CENGOVT" localSheetId="14">#REF!</definedName>
    <definedName name="CENGOVT" localSheetId="8">#REF!</definedName>
    <definedName name="CENGOVT">#REF!</definedName>
    <definedName name="CEPA96" localSheetId="1">#REF!</definedName>
    <definedName name="CEPA96" localSheetId="14">#REF!</definedName>
    <definedName name="CEPA96" localSheetId="8">#REF!</definedName>
    <definedName name="CEPA96">#REF!</definedName>
    <definedName name="CGBUDG" localSheetId="1">#REF!</definedName>
    <definedName name="CGBUDG" localSheetId="8">#REF!</definedName>
    <definedName name="CGBUDG">#REF!</definedName>
    <definedName name="CGBUDG_" localSheetId="1">#REF!</definedName>
    <definedName name="CGBUDG_" localSheetId="8">#REF!</definedName>
    <definedName name="CGBUDG_">#REF!</definedName>
    <definedName name="CGEXBUDG" localSheetId="1">#REF!</definedName>
    <definedName name="CGEXBUDG" localSheetId="8">#REF!</definedName>
    <definedName name="CGEXBUDG">#REF!</definedName>
    <definedName name="CGFIS" localSheetId="1">#REF!</definedName>
    <definedName name="CGFIS" localSheetId="8">#REF!</definedName>
    <definedName name="CGFIS">#REF!</definedName>
    <definedName name="CGNRP" localSheetId="1">#REF!</definedName>
    <definedName name="CGNRP" localSheetId="8">#REF!</definedName>
    <definedName name="CGNRP">#REF!</definedName>
    <definedName name="Chacoinvestment">[57]Tables!$G$3:$H$10</definedName>
    <definedName name="chacoresults">[57]Tables!$M$3:$R$8</definedName>
    <definedName name="chart4" localSheetId="14" hidden="1">{#N/A,#N/A,FALSE,"CB";#N/A,#N/A,FALSE,"CMB";#N/A,#N/A,FALSE,"NBFI"}</definedName>
    <definedName name="chart4" hidden="1">{#N/A,#N/A,FALSE,"CB";#N/A,#N/A,FALSE,"CMB";#N/A,#N/A,FALSE,"NBFI"}</definedName>
    <definedName name="ChartA" localSheetId="14" hidden="1">{#N/A,#N/A,FALSE,"CB";#N/A,#N/A,FALSE,"CMB";#N/A,#N/A,FALSE,"NBFI"}</definedName>
    <definedName name="ChartA" hidden="1">{#N/A,#N/A,FALSE,"CB";#N/A,#N/A,FALSE,"CMB";#N/A,#N/A,FALSE,"NBFI"}</definedName>
    <definedName name="Chartvel" localSheetId="14" hidden="1">{#N/A,#N/A,FALSE,"CB";#N/A,#N/A,FALSE,"CMB";#N/A,#N/A,FALSE,"BSYS";#N/A,#N/A,FALSE,"NBFI";#N/A,#N/A,FALSE,"FSYS"}</definedName>
    <definedName name="Chartvel" hidden="1">{#N/A,#N/A,FALSE,"CB";#N/A,#N/A,FALSE,"CMB";#N/A,#N/A,FALSE,"BSYS";#N/A,#N/A,FALSE,"NBFI";#N/A,#N/A,FALSE,"FSYS"}</definedName>
    <definedName name="CHILE" localSheetId="1">#REF!</definedName>
    <definedName name="CHILE" localSheetId="14">#REF!</definedName>
    <definedName name="CHILE" localSheetId="8">#REF!</definedName>
    <definedName name="CHILE">#REF!</definedName>
    <definedName name="CHK" localSheetId="1">#REF!</definedName>
    <definedName name="CHK" localSheetId="14">#REF!</definedName>
    <definedName name="CHK" localSheetId="8">#REF!</definedName>
    <definedName name="CHK">#REF!</definedName>
    <definedName name="cirr" localSheetId="1">#REF!</definedName>
    <definedName name="cirr" localSheetId="14">#REF!</definedName>
    <definedName name="cirr" localSheetId="8">#REF!</definedName>
    <definedName name="cirr">#REF!</definedName>
    <definedName name="Clase1">[58]FREC!$K$3</definedName>
    <definedName name="Clase2">[58]FREC!$K$5</definedName>
    <definedName name="cmbccr" localSheetId="1">#REF!</definedName>
    <definedName name="cmbccr" localSheetId="14">#REF!</definedName>
    <definedName name="cmbccr" localSheetId="8">#REF!</definedName>
    <definedName name="cmbccr">#REF!</definedName>
    <definedName name="cmbcom" localSheetId="1">#REF!</definedName>
    <definedName name="cmbcom" localSheetId="14">#REF!</definedName>
    <definedName name="cmbcom" localSheetId="8">#REF!</definedName>
    <definedName name="cmbcom">#REF!</definedName>
    <definedName name="cmsbn" localSheetId="1">#REF!</definedName>
    <definedName name="cmsbn" localSheetId="14">#REF!</definedName>
    <definedName name="cmsbn" localSheetId="8">#REF!</definedName>
    <definedName name="cmsbn">#REF!</definedName>
    <definedName name="cnspnf" localSheetId="1">#REF!</definedName>
    <definedName name="cnspnf" localSheetId="8">#REF!</definedName>
    <definedName name="cnspnf">#REF!</definedName>
    <definedName name="cod" localSheetId="1">#REF!</definedName>
    <definedName name="cod" localSheetId="8">#REF!</definedName>
    <definedName name="cod">#REF!</definedName>
    <definedName name="coef">1</definedName>
    <definedName name="coef88">884.234100466</definedName>
    <definedName name="coef89">10.6881917136</definedName>
    <definedName name="coef90">1.79031686995</definedName>
    <definedName name="coef91">1.1476390192</definedName>
    <definedName name="coef92">1.11421264</definedName>
    <definedName name="coef93">1.11088</definedName>
    <definedName name="coef94">1.048</definedName>
    <definedName name="coef95">1</definedName>
    <definedName name="coef96">1</definedName>
    <definedName name="com_sEP_OCT" localSheetId="1">'[50]Ejecución 2004'!#REF!</definedName>
    <definedName name="com_sEP_OCT" localSheetId="14">'[50]Ejecución 2004'!#REF!</definedName>
    <definedName name="com_sEP_OCT" localSheetId="8">'[50]Ejecución 2004'!#REF!</definedName>
    <definedName name="com_sEP_OCT">'[50]Ejecución 2004'!#REF!</definedName>
    <definedName name="comisión">1.15</definedName>
    <definedName name="Comp_Ago_Oct" localSheetId="1">'[50]Ejecución 2004'!#REF!</definedName>
    <definedName name="Comp_Ago_Oct" localSheetId="14">'[50]Ejecución 2004'!#REF!</definedName>
    <definedName name="Comp_Ago_Oct" localSheetId="8">'[50]Ejecución 2004'!#REF!</definedName>
    <definedName name="Comp_Ago_Oct">'[50]Ejecución 2004'!#REF!</definedName>
    <definedName name="COMPDIC" localSheetId="1">'[50]Ejecución 2004'!#REF!</definedName>
    <definedName name="COMPDIC" localSheetId="14">'[50]Ejecución 2004'!#REF!</definedName>
    <definedName name="COMPDIC" localSheetId="8">'[50]Ejecución 2004'!#REF!</definedName>
    <definedName name="COMPDIC">'[50]Ejecución 2004'!#REF!</definedName>
    <definedName name="COMPREGI" localSheetId="1">#REF!</definedName>
    <definedName name="COMPREGI" localSheetId="14">#REF!</definedName>
    <definedName name="COMPREGI" localSheetId="8">#REF!</definedName>
    <definedName name="COMPREGI">#REF!</definedName>
    <definedName name="Comprobantes">'[59]Tabla de Comprobantes'!$A$3:$A$65</definedName>
    <definedName name="CONCK" localSheetId="1">#REF!</definedName>
    <definedName name="CONCK" localSheetId="14">#REF!</definedName>
    <definedName name="CONCK" localSheetId="8">#REF!</definedName>
    <definedName name="CONCK">#REF!</definedName>
    <definedName name="conor" localSheetId="1">#REF!</definedName>
    <definedName name="conor" localSheetId="14">#REF!</definedName>
    <definedName name="conor" localSheetId="8">#REF!</definedName>
    <definedName name="conor">#REF!</definedName>
    <definedName name="cons" localSheetId="1">#REF!</definedName>
    <definedName name="cons" localSheetId="14">#REF!</definedName>
    <definedName name="cons" localSheetId="8">#REF!</definedName>
    <definedName name="cons">#REF!</definedName>
    <definedName name="CONSOL" localSheetId="1">#REF!</definedName>
    <definedName name="CONSOL" localSheetId="8">#REF!</definedName>
    <definedName name="CONSOL">#REF!</definedName>
    <definedName name="CONSOLIDADOMAXUSBOLIVIAINC" localSheetId="1">#REF!</definedName>
    <definedName name="CONSOLIDADOMAXUSBOLIVIAINC" localSheetId="8">#REF!</definedName>
    <definedName name="CONSOLIDADOMAXUSBOLIVIAINC">#REF!</definedName>
    <definedName name="CONSOLIDADOTOTAL" localSheetId="1">#REF!</definedName>
    <definedName name="CONSOLIDADOTOTAL" localSheetId="8">#REF!</definedName>
    <definedName name="CONSOLIDADOTOTAL">#REF!</definedName>
    <definedName name="Consulta_PAGOS_JUBILACION" localSheetId="1">#REF!</definedName>
    <definedName name="Consulta_PAGOS_JUBILACION" localSheetId="8">#REF!</definedName>
    <definedName name="Consulta_PAGOS_JUBILACION">#REF!</definedName>
    <definedName name="Consulta2_final" localSheetId="1">[60]Consulta2_final!#REF!</definedName>
    <definedName name="Consulta2_final" localSheetId="8">[60]Consulta2_final!#REF!</definedName>
    <definedName name="Consulta2_final">[60]Consulta2_final!#REF!</definedName>
    <definedName name="Coop_Jesus_Nazareno" localSheetId="1">[47]listas!#REF!</definedName>
    <definedName name="Coop_Jesus_Nazareno" localSheetId="8">[47]listas!#REF!</definedName>
    <definedName name="Coop_Jesus_Nazareno">[47]listas!#REF!</definedName>
    <definedName name="copytable16">[61]table1!$A$14:$J$75</definedName>
    <definedName name="COUNT" localSheetId="1">#REF!</definedName>
    <definedName name="COUNT" localSheetId="14">#REF!</definedName>
    <definedName name="COUNT" localSheetId="8">#REF!</definedName>
    <definedName name="COUNT">#REF!</definedName>
    <definedName name="COUNTER" localSheetId="1">#REF!</definedName>
    <definedName name="COUNTER" localSheetId="14">#REF!</definedName>
    <definedName name="COUNTER" localSheetId="8">#REF!</definedName>
    <definedName name="COUNTER">#REF!</definedName>
    <definedName name="CountryName" localSheetId="1">#REF!</definedName>
    <definedName name="CountryName" localSheetId="14">#REF!</definedName>
    <definedName name="CountryName" localSheetId="8">#REF!</definedName>
    <definedName name="CountryName">#REF!</definedName>
    <definedName name="CPI" localSheetId="1">#REF!</definedName>
    <definedName name="CPI" localSheetId="8">#REF!</definedName>
    <definedName name="CPI">#REF!</definedName>
    <definedName name="CPICUM" localSheetId="1">#REF!</definedName>
    <definedName name="CPICUM" localSheetId="8">#REF!</definedName>
    <definedName name="CPICUM">#REF!</definedName>
    <definedName name="CRC" localSheetId="1">#REF!</definedName>
    <definedName name="CRC" localSheetId="8">#REF!</definedName>
    <definedName name="CRC">#REF!</definedName>
    <definedName name="CRECWM">[62]SUPUESTOS!A$15</definedName>
    <definedName name="cred" localSheetId="1">#REF!</definedName>
    <definedName name="cred" localSheetId="14">#REF!</definedName>
    <definedName name="cred" localSheetId="8">#REF!</definedName>
    <definedName name="cred">#REF!</definedName>
    <definedName name="cred1" localSheetId="1">#REF!</definedName>
    <definedName name="cred1" localSheetId="14">#REF!</definedName>
    <definedName name="cred1" localSheetId="8">#REF!</definedName>
    <definedName name="cred1">#REF!</definedName>
    <definedName name="cred2000" localSheetId="1">#REF!</definedName>
    <definedName name="cred2000" localSheetId="14">#REF!</definedName>
    <definedName name="cred2000" localSheetId="8">#REF!</definedName>
    <definedName name="cred2000">#REF!</definedName>
    <definedName name="cred2001" localSheetId="1">#REF!</definedName>
    <definedName name="cred2001" localSheetId="8">#REF!</definedName>
    <definedName name="cred2001">#REF!</definedName>
    <definedName name="cred2002" localSheetId="1">#REF!</definedName>
    <definedName name="cred2002" localSheetId="8">#REF!</definedName>
    <definedName name="cred2002">#REF!</definedName>
    <definedName name="cred2003" localSheetId="1">#REF!</definedName>
    <definedName name="cred2003" localSheetId="8">#REF!</definedName>
    <definedName name="cred2003">#REF!</definedName>
    <definedName name="cred98" localSheetId="1">[22]Programa!#REF!</definedName>
    <definedName name="cred98" localSheetId="14">[22]Programa!#REF!</definedName>
    <definedName name="cred98" localSheetId="8">[22]Programa!#REF!</definedName>
    <definedName name="cred98">[22]Programa!#REF!</definedName>
    <definedName name="cred98j" localSheetId="1">[22]Programa!#REF!</definedName>
    <definedName name="cred98j" localSheetId="14">[22]Programa!#REF!</definedName>
    <definedName name="cred98j" localSheetId="8">[22]Programa!#REF!</definedName>
    <definedName name="cred98j">[22]Programa!#REF!</definedName>
    <definedName name="cred98s" localSheetId="1">#REF!</definedName>
    <definedName name="cred98s" localSheetId="14">#REF!</definedName>
    <definedName name="cred98s" localSheetId="8">#REF!</definedName>
    <definedName name="cred98s">#REF!</definedName>
    <definedName name="cred99" localSheetId="1">#REF!</definedName>
    <definedName name="cred99" localSheetId="14">#REF!</definedName>
    <definedName name="cred99" localSheetId="8">#REF!</definedName>
    <definedName name="cred99">#REF!</definedName>
    <definedName name="_xlnm.Criteria" localSheetId="1">'[43]2005OEC'!#REF!</definedName>
    <definedName name="_xlnm.Criteria" localSheetId="14">'[43]2005OEC'!#REF!</definedName>
    <definedName name="_xlnm.Criteria" localSheetId="8">'[43]2005OEC'!#REF!</definedName>
    <definedName name="_xlnm.Criteria">'[43]2005OEC'!#REF!</definedName>
    <definedName name="CROMA1" localSheetId="1">#REF!</definedName>
    <definedName name="CROMA1" localSheetId="14">#REF!</definedName>
    <definedName name="CROMA1" localSheetId="8">#REF!</definedName>
    <definedName name="CROMA1">#REF!</definedName>
    <definedName name="CROMA2" localSheetId="1">#REF!</definedName>
    <definedName name="CROMA2" localSheetId="14">#REF!</definedName>
    <definedName name="CROMA2" localSheetId="8">#REF!</definedName>
    <definedName name="CROMA2">#REF!</definedName>
    <definedName name="CTP">'[63]Presupuesto Ventas'!$C$13</definedName>
    <definedName name="cuad1" localSheetId="1">#REF!</definedName>
    <definedName name="cuad1" localSheetId="14">#REF!</definedName>
    <definedName name="cuad1" localSheetId="8">#REF!</definedName>
    <definedName name="cuad1">#REF!</definedName>
    <definedName name="cuad10" localSheetId="1">#REF!</definedName>
    <definedName name="cuad10" localSheetId="14">#REF!</definedName>
    <definedName name="cuad10" localSheetId="8">#REF!</definedName>
    <definedName name="cuad10">#REF!</definedName>
    <definedName name="cuad11" localSheetId="1">#REF!</definedName>
    <definedName name="cuad11" localSheetId="14">#REF!</definedName>
    <definedName name="cuad11" localSheetId="8">#REF!</definedName>
    <definedName name="cuad11">#REF!</definedName>
    <definedName name="cuad12" localSheetId="1">#REF!</definedName>
    <definedName name="cuad12" localSheetId="8">#REF!</definedName>
    <definedName name="cuad12">#REF!</definedName>
    <definedName name="cuad13" localSheetId="1">#REF!</definedName>
    <definedName name="cuad13" localSheetId="8">#REF!</definedName>
    <definedName name="cuad13">#REF!</definedName>
    <definedName name="cuad14" localSheetId="1">#REF!</definedName>
    <definedName name="cuad14" localSheetId="8">#REF!</definedName>
    <definedName name="cuad14">#REF!</definedName>
    <definedName name="cuad15" localSheetId="1">#REF!</definedName>
    <definedName name="cuad15" localSheetId="8">#REF!</definedName>
    <definedName name="cuad15">#REF!</definedName>
    <definedName name="cuad16" localSheetId="1">#REF!</definedName>
    <definedName name="cuad16" localSheetId="8">#REF!</definedName>
    <definedName name="cuad16">#REF!</definedName>
    <definedName name="cuad17" localSheetId="1">#REF!</definedName>
    <definedName name="cuad17" localSheetId="8">#REF!</definedName>
    <definedName name="cuad17">#REF!</definedName>
    <definedName name="cuad18" localSheetId="1">#REF!</definedName>
    <definedName name="cuad18" localSheetId="8">#REF!</definedName>
    <definedName name="cuad18">#REF!</definedName>
    <definedName name="cuad19" localSheetId="1">#REF!</definedName>
    <definedName name="cuad19" localSheetId="8">#REF!</definedName>
    <definedName name="cuad19">#REF!</definedName>
    <definedName name="cuad2" localSheetId="1">#REF!</definedName>
    <definedName name="cuad2" localSheetId="8">#REF!</definedName>
    <definedName name="cuad2">#REF!</definedName>
    <definedName name="cuad20" localSheetId="1">#REF!</definedName>
    <definedName name="cuad20" localSheetId="8">#REF!</definedName>
    <definedName name="cuad20">#REF!</definedName>
    <definedName name="cuad21" localSheetId="1">#REF!</definedName>
    <definedName name="cuad21" localSheetId="8">#REF!</definedName>
    <definedName name="cuad21">#REF!</definedName>
    <definedName name="cuad22" localSheetId="1">#REF!</definedName>
    <definedName name="cuad22" localSheetId="8">#REF!</definedName>
    <definedName name="cuad22">#REF!</definedName>
    <definedName name="cuad23" localSheetId="1">#REF!</definedName>
    <definedName name="cuad23" localSheetId="8">#REF!</definedName>
    <definedName name="cuad23">#REF!</definedName>
    <definedName name="cuad24" localSheetId="1">#REF!</definedName>
    <definedName name="cuad24" localSheetId="8">#REF!</definedName>
    <definedName name="cuad24">#REF!</definedName>
    <definedName name="cuad25" localSheetId="1">#REF!</definedName>
    <definedName name="cuad25" localSheetId="8">#REF!</definedName>
    <definedName name="cuad25">#REF!</definedName>
    <definedName name="cuad3" localSheetId="1">#REF!</definedName>
    <definedName name="cuad3" localSheetId="8">#REF!</definedName>
    <definedName name="cuad3">#REF!</definedName>
    <definedName name="cuad4" localSheetId="1">#REF!</definedName>
    <definedName name="cuad4" localSheetId="8">#REF!</definedName>
    <definedName name="cuad4">#REF!</definedName>
    <definedName name="cuad5" localSheetId="1">#REF!</definedName>
    <definedName name="cuad5" localSheetId="8">#REF!</definedName>
    <definedName name="cuad5">#REF!</definedName>
    <definedName name="cuad6" localSheetId="1">#REF!</definedName>
    <definedName name="cuad6" localSheetId="8">#REF!</definedName>
    <definedName name="cuad6">#REF!</definedName>
    <definedName name="cuad7" localSheetId="1">#REF!</definedName>
    <definedName name="cuad7" localSheetId="8">#REF!</definedName>
    <definedName name="cuad7">#REF!</definedName>
    <definedName name="cuad8" localSheetId="1">#REF!</definedName>
    <definedName name="cuad8" localSheetId="8">#REF!</definedName>
    <definedName name="cuad8">#REF!</definedName>
    <definedName name="cuad9" localSheetId="1">#REF!</definedName>
    <definedName name="cuad9" localSheetId="8">#REF!</definedName>
    <definedName name="cuad9">#REF!</definedName>
    <definedName name="CUADR11" localSheetId="1">#REF!</definedName>
    <definedName name="CUADR11" localSheetId="8">#REF!</definedName>
    <definedName name="CUADR11">#REF!</definedName>
    <definedName name="CUADRO_2" localSheetId="1">'[64]PAPE-98'!#REF!</definedName>
    <definedName name="CUADRO_2" localSheetId="8">'[64]PAPE-98'!#REF!</definedName>
    <definedName name="CUADRO_2">'[64]PAPE-98'!#REF!</definedName>
    <definedName name="cuadro_3" localSheetId="1">'[38]PAPE-98'!#REF!</definedName>
    <definedName name="cuadro_3" localSheetId="8">'[38]PAPE-98'!#REF!</definedName>
    <definedName name="cuadro_3">'[38]PAPE-98'!#REF!</definedName>
    <definedName name="CUADROI" localSheetId="1">#REF!</definedName>
    <definedName name="CUADROI" localSheetId="14">#REF!</definedName>
    <definedName name="CUADROI" localSheetId="8">#REF!</definedName>
    <definedName name="CUADROI">#REF!</definedName>
    <definedName name="CUADROII" localSheetId="1">#REF!</definedName>
    <definedName name="CUADROII" localSheetId="14">#REF!</definedName>
    <definedName name="CUADROII" localSheetId="8">#REF!</definedName>
    <definedName name="CUADROII">#REF!</definedName>
    <definedName name="CUADROIII" localSheetId="1">#REF!</definedName>
    <definedName name="CUADROIII" localSheetId="14">#REF!</definedName>
    <definedName name="CUADROIII" localSheetId="8">#REF!</definedName>
    <definedName name="CUADROIII">#REF!</definedName>
    <definedName name="CUADROIV" localSheetId="1">#REF!</definedName>
    <definedName name="CUADROIV" localSheetId="8">#REF!</definedName>
    <definedName name="CUADROIV">#REF!</definedName>
    <definedName name="CUADROV" localSheetId="1">#REF!</definedName>
    <definedName name="CUADROV" localSheetId="8">#REF!</definedName>
    <definedName name="CUADROV">#REF!</definedName>
    <definedName name="CUADROVI" localSheetId="1">#REF!</definedName>
    <definedName name="CUADROVI" localSheetId="8">#REF!</definedName>
    <definedName name="CUADROVI">#REF!</definedName>
    <definedName name="CUADROVII" localSheetId="1">#REF!</definedName>
    <definedName name="CUADROVII" localSheetId="8">#REF!</definedName>
    <definedName name="CUADROVII">#REF!</definedName>
    <definedName name="CuartoTRIM" localSheetId="1">#REF!</definedName>
    <definedName name="CuartoTRIM" localSheetId="8">#REF!</definedName>
    <definedName name="CuartoTRIM">#REF!</definedName>
    <definedName name="CUDRO2" localSheetId="1">'[65]PAPE-98'!#REF!</definedName>
    <definedName name="CUDRO2" localSheetId="8">'[65]PAPE-98'!#REF!</definedName>
    <definedName name="CUDRO2">'[65]PAPE-98'!#REF!</definedName>
    <definedName name="currency" localSheetId="1">#REF!</definedName>
    <definedName name="currency" localSheetId="14">#REF!</definedName>
    <definedName name="currency" localSheetId="8">#REF!</definedName>
    <definedName name="currency">#REF!</definedName>
    <definedName name="Currency_List">'[66]GE Calculation'!$B$41:$B$52</definedName>
    <definedName name="CurrVintage">[67]Current!$D$66</definedName>
    <definedName name="cvgbdfsdswtt" localSheetId="1">#REF!</definedName>
    <definedName name="cvgbdfsdswtt" localSheetId="14">#REF!</definedName>
    <definedName name="cvgbdfsdswtt" localSheetId="8">#REF!</definedName>
    <definedName name="cvgbdfsdswtt">#REF!</definedName>
    <definedName name="D" localSheetId="1" hidden="1">'[68]Eje 2004'!#REF!</definedName>
    <definedName name="D" localSheetId="14" hidden="1">'[68]Eje 2004'!#REF!</definedName>
    <definedName name="D" localSheetId="8" hidden="1">'[68]Eje 2004'!#REF!</definedName>
    <definedName name="D" hidden="1">'[68]Eje 2004'!#REF!</definedName>
    <definedName name="D_BCA_NGDP" localSheetId="1">[69]DA!#REF!</definedName>
    <definedName name="D_BCA_NGDP" localSheetId="14">[69]DA!#REF!</definedName>
    <definedName name="D_BCA_NGDP" localSheetId="8">[69]DA!#REF!</definedName>
    <definedName name="D_BCA_NGDP">[69]DA!#REF!</definedName>
    <definedName name="D_BCA1" localSheetId="1">[69]DA!#REF!</definedName>
    <definedName name="D_BCA1" localSheetId="8">[69]DA!#REF!</definedName>
    <definedName name="D_BCA1">[69]DA!#REF!</definedName>
    <definedName name="D_BCA2" localSheetId="1">[69]DA!#REF!</definedName>
    <definedName name="D_BCA2" localSheetId="8">[69]DA!#REF!</definedName>
    <definedName name="D_BCA2">[69]DA!#REF!</definedName>
    <definedName name="D_BE" localSheetId="1">[69]DA!#REF!</definedName>
    <definedName name="D_BE" localSheetId="8">[69]DA!#REF!</definedName>
    <definedName name="D_BE">[69]DA!#REF!</definedName>
    <definedName name="D_BFDA" localSheetId="1">[69]DA!#REF!</definedName>
    <definedName name="D_BFDA" localSheetId="8">[69]DA!#REF!</definedName>
    <definedName name="D_BFDA">[69]DA!#REF!</definedName>
    <definedName name="D_BFL_C" localSheetId="1">[69]DA!#REF!</definedName>
    <definedName name="D_BFL_C" localSheetId="8">[69]DA!#REF!</definedName>
    <definedName name="D_BFL_C">[69]DA!#REF!</definedName>
    <definedName name="D_BFL_L" localSheetId="1">[69]DA!#REF!</definedName>
    <definedName name="D_BFL_L" localSheetId="8">[69]DA!#REF!</definedName>
    <definedName name="D_BFL_L">[69]DA!#REF!</definedName>
    <definedName name="D_BFLO" localSheetId="1">[69]DA!#REF!</definedName>
    <definedName name="D_BFLO" localSheetId="8">[69]DA!#REF!</definedName>
    <definedName name="D_BFLO">[69]DA!#REF!</definedName>
    <definedName name="D_BFPLBN" localSheetId="1">[69]DA!#REF!</definedName>
    <definedName name="D_BFPLBN" localSheetId="8">[69]DA!#REF!</definedName>
    <definedName name="D_BFPLBN">[69]DA!#REF!</definedName>
    <definedName name="D_BFPLMM" localSheetId="1">[69]DA!#REF!</definedName>
    <definedName name="D_BFPLMM" localSheetId="8">[69]DA!#REF!</definedName>
    <definedName name="D_BFPLMM">[69]DA!#REF!</definedName>
    <definedName name="D_BFRA" localSheetId="1">[69]DA!#REF!</definedName>
    <definedName name="D_BFRA" localSheetId="8">[69]DA!#REF!</definedName>
    <definedName name="D_BFRA">[69]DA!#REF!</definedName>
    <definedName name="D_BFRA2" localSheetId="1">[69]DA!#REF!</definedName>
    <definedName name="D_BFRA2" localSheetId="8">[69]DA!#REF!</definedName>
    <definedName name="D_BFRA2">[69]DA!#REF!</definedName>
    <definedName name="D_BFUND" localSheetId="1">[69]DA!#REF!</definedName>
    <definedName name="D_BFUND" localSheetId="8">[69]DA!#REF!</definedName>
    <definedName name="D_BFUND">[69]DA!#REF!</definedName>
    <definedName name="D_BGS1" localSheetId="1">[69]DA!#REF!</definedName>
    <definedName name="D_BGS1" localSheetId="8">[69]DA!#REF!</definedName>
    <definedName name="D_BGS1">[69]DA!#REF!</definedName>
    <definedName name="D_BGS2" localSheetId="1">[69]DA!#REF!</definedName>
    <definedName name="D_BGS2" localSheetId="8">[69]DA!#REF!</definedName>
    <definedName name="D_BGS2">[69]DA!#REF!</definedName>
    <definedName name="D_BK" localSheetId="1">[69]DA!#REF!</definedName>
    <definedName name="D_BK" localSheetId="8">[69]DA!#REF!</definedName>
    <definedName name="D_BK">[69]DA!#REF!</definedName>
    <definedName name="D_BKFAX" localSheetId="1">[69]DA!#REF!</definedName>
    <definedName name="D_BKFAX" localSheetId="8">[69]DA!#REF!</definedName>
    <definedName name="D_BKFAX">[69]DA!#REF!</definedName>
    <definedName name="D_BOB" localSheetId="1">[69]DA!#REF!</definedName>
    <definedName name="D_BOB" localSheetId="8">[69]DA!#REF!</definedName>
    <definedName name="D_BOB">[69]DA!#REF!</definedName>
    <definedName name="D_BOP" localSheetId="1">[69]DA!#REF!</definedName>
    <definedName name="D_BOP" localSheetId="8">[69]DA!#REF!</definedName>
    <definedName name="D_BOP">[69]DA!#REF!</definedName>
    <definedName name="D_BOP1" localSheetId="1">[69]DA!#REF!</definedName>
    <definedName name="D_BOP1" localSheetId="8">[69]DA!#REF!</definedName>
    <definedName name="D_BOP1">[69]DA!#REF!</definedName>
    <definedName name="D_BRASS2" localSheetId="1">[69]DA!#REF!</definedName>
    <definedName name="D_BRASS2" localSheetId="8">[69]DA!#REF!</definedName>
    <definedName name="D_BRASS2">[69]DA!#REF!</definedName>
    <definedName name="D_BS" localSheetId="1">[69]DA!#REF!</definedName>
    <definedName name="D_BS" localSheetId="8">[69]DA!#REF!</definedName>
    <definedName name="D_BS">[69]DA!#REF!</definedName>
    <definedName name="D_BT" localSheetId="1">[69]DA!#REF!</definedName>
    <definedName name="D_BT" localSheetId="8">[69]DA!#REF!</definedName>
    <definedName name="D_BT">[69]DA!#REF!</definedName>
    <definedName name="D_BTR" localSheetId="1">[69]DA!#REF!</definedName>
    <definedName name="D_BTR" localSheetId="8">[69]DA!#REF!</definedName>
    <definedName name="D_BTR">[69]DA!#REF!</definedName>
    <definedName name="DABproj">#N/A</definedName>
    <definedName name="DAGproj">#N/A</definedName>
    <definedName name="DAproj">#N/A</definedName>
    <definedName name="DASD">#N/A</definedName>
    <definedName name="DASDB">#N/A</definedName>
    <definedName name="DASDG">#N/A</definedName>
    <definedName name="dasdsadsa" localSheetId="1" hidden="1">#REF!</definedName>
    <definedName name="dasdsadsa" localSheetId="14" hidden="1">#REF!</definedName>
    <definedName name="dasdsadsa" localSheetId="8" hidden="1">#REF!</definedName>
    <definedName name="dasdsadsa" hidden="1">#REF!</definedName>
    <definedName name="Data" localSheetId="1">#REF!</definedName>
    <definedName name="Data" localSheetId="14">#REF!</definedName>
    <definedName name="Data" localSheetId="8">#REF!</definedName>
    <definedName name="Data">#REF!</definedName>
    <definedName name="Database" localSheetId="1">'[43]2005OEC'!#REF!</definedName>
    <definedName name="Database" localSheetId="14">'[43]2005OEC'!#REF!</definedName>
    <definedName name="Database" localSheetId="8">'[43]2005OEC'!#REF!</definedName>
    <definedName name="Database">'[43]2005OEC'!#REF!</definedName>
    <definedName name="date" localSheetId="1">#REF!</definedName>
    <definedName name="date" localSheetId="14">#REF!</definedName>
    <definedName name="date" localSheetId="8">#REF!</definedName>
    <definedName name="date">#REF!</definedName>
    <definedName name="DATES" localSheetId="1">#REF!</definedName>
    <definedName name="DATES" localSheetId="8">#REF!</definedName>
    <definedName name="DATES">#REF!</definedName>
    <definedName name="DATES_A" localSheetId="1">#REF!</definedName>
    <definedName name="DATES_A" localSheetId="8">#REF!</definedName>
    <definedName name="DATES_A">#REF!</definedName>
    <definedName name="Dates_Annual" localSheetId="1">#REF!</definedName>
    <definedName name="Dates_Annual" localSheetId="8">#REF!</definedName>
    <definedName name="Dates_Annual">#REF!</definedName>
    <definedName name="Dates_Monthly" localSheetId="1">#REF!</definedName>
    <definedName name="Dates_Monthly" localSheetId="8">#REF!</definedName>
    <definedName name="Dates_Monthly">#REF!</definedName>
    <definedName name="DATES_Q" localSheetId="1">#REF!</definedName>
    <definedName name="DATES_Q" localSheetId="8">#REF!</definedName>
    <definedName name="DATES_Q">#REF!</definedName>
    <definedName name="dates_w" localSheetId="1">#REF!</definedName>
    <definedName name="dates_w" localSheetId="8">#REF!</definedName>
    <definedName name="dates_w">#REF!</definedName>
    <definedName name="DATIS" localSheetId="1">#REF!</definedName>
    <definedName name="DATIS" localSheetId="8">#REF!</definedName>
    <definedName name="DATIS">#REF!</definedName>
    <definedName name="DATO" localSheetId="1">#REF!</definedName>
    <definedName name="DATO" localSheetId="8">#REF!</definedName>
    <definedName name="DATO">#REF!</definedName>
    <definedName name="DBproj">#N/A</definedName>
    <definedName name="dcc98j" localSheetId="1">[22]Programa!#REF!</definedName>
    <definedName name="dcc98j" localSheetId="8">[22]Programa!#REF!</definedName>
    <definedName name="dcc98j">[22]Programa!#REF!</definedName>
    <definedName name="dcc98s" localSheetId="1">#REF!</definedName>
    <definedName name="dcc98s" localSheetId="14">#REF!</definedName>
    <definedName name="dcc98s" localSheetId="8">#REF!</definedName>
    <definedName name="dcc98s">#REF!</definedName>
    <definedName name="dd" localSheetId="1">'[36]Ejecución 2004'!#REF!</definedName>
    <definedName name="dd" localSheetId="8">'[36]Ejecución 2004'!#REF!</definedName>
    <definedName name="dd">'[36]Ejecución 2004'!#REF!</definedName>
    <definedName name="DD__Charts_area" localSheetId="1">#REF!</definedName>
    <definedName name="DD__Charts_area" localSheetId="14">#REF!</definedName>
    <definedName name="DD__Charts_area" localSheetId="8">#REF!</definedName>
    <definedName name="DD__Charts_area">#REF!</definedName>
    <definedName name="DD__GDI" localSheetId="1">#REF!</definedName>
    <definedName name="DD__GDI" localSheetId="14">#REF!</definedName>
    <definedName name="DD__GDI" localSheetId="8">#REF!</definedName>
    <definedName name="DD__GDI">#REF!</definedName>
    <definedName name="DD__GDP_real_by_sector_of_origin" localSheetId="1">#REF!</definedName>
    <definedName name="DD__GDP_real_by_sector_of_origin" localSheetId="14">#REF!</definedName>
    <definedName name="DD__GDP_real_by_sector_of_origin" localSheetId="8">#REF!</definedName>
    <definedName name="DD__GDP_real_by_sector_of_origin">#REF!</definedName>
    <definedName name="DD__Labor_Productivity" localSheetId="1">#REF!</definedName>
    <definedName name="DD__Labor_Productivity" localSheetId="8">#REF!</definedName>
    <definedName name="DD__Labor_Productivity">#REF!</definedName>
    <definedName name="DD__National_Accounts_at_1958_prices_" localSheetId="1">#REF!</definedName>
    <definedName name="DD__National_Accounts_at_1958_prices_" localSheetId="8">#REF!</definedName>
    <definedName name="DD__National_Accounts_at_1958_prices_">#REF!</definedName>
    <definedName name="DD__National_Accounts_at_Current_Prices" localSheetId="1">#REF!</definedName>
    <definedName name="DD__National_Accounts_at_Current_Prices" localSheetId="8">#REF!</definedName>
    <definedName name="DD__National_Accounts_at_Current_Prices">#REF!</definedName>
    <definedName name="DD__National_Accounts_Deflators" localSheetId="1">#REF!</definedName>
    <definedName name="DD__National_Accounts_Deflators" localSheetId="8">#REF!</definedName>
    <definedName name="DD__National_Accounts_Deflators">#REF!</definedName>
    <definedName name="DD__Prices_CPI_all_items" localSheetId="1">#REF!</definedName>
    <definedName name="DD__Prices_CPI_all_items" localSheetId="8">#REF!</definedName>
    <definedName name="DD__Prices_CPI_all_items">#REF!</definedName>
    <definedName name="DD__Prices_CPI_by_components" localSheetId="1">#REF!</definedName>
    <definedName name="DD__Prices_CPI_by_components" localSheetId="8">#REF!</definedName>
    <definedName name="DD__Prices_CPI_by_components">#REF!</definedName>
    <definedName name="DD__Prices_Wage_Indicators" localSheetId="1">#REF!</definedName>
    <definedName name="DD__Prices_Wage_Indicators" localSheetId="8">#REF!</definedName>
    <definedName name="DD__Prices_Wage_Indicators">#REF!</definedName>
    <definedName name="DD__Selected_Agricultural_Sector_Statistics" localSheetId="1">#REF!</definedName>
    <definedName name="DD__Selected_Agricultural_Sector_Statistics" localSheetId="8">#REF!</definedName>
    <definedName name="DD__Selected_Agricultural_Sector_Statistics">#REF!</definedName>
    <definedName name="DD__Selected_Agricultural_Sector_Statistics__concluded" localSheetId="1">#REF!</definedName>
    <definedName name="DD__Selected_Agricultural_Sector_Statistics__concluded" localSheetId="8">#REF!</definedName>
    <definedName name="DD__Selected_Agricultural_Sector_Statistics__concluded">#REF!</definedName>
    <definedName name="DD_Index_of_employment" localSheetId="1">#REF!</definedName>
    <definedName name="DD_Index_of_employment" localSheetId="8">#REF!</definedName>
    <definedName name="DD_Index_of_employment">#REF!</definedName>
    <definedName name="DD_Indicators_of_emp_wages_ulc" localSheetId="1">#REF!</definedName>
    <definedName name="DD_Indicators_of_emp_wages_ulc" localSheetId="8">#REF!</definedName>
    <definedName name="DD_Indicators_of_emp_wages_ulc">#REF!</definedName>
    <definedName name="DD_Labor_Productivity" localSheetId="1">#REF!</definedName>
    <definedName name="DD_Labor_Productivity" localSheetId="8">#REF!</definedName>
    <definedName name="DD_Labor_Productivity">#REF!</definedName>
    <definedName name="DDD" localSheetId="1">#REF!</definedName>
    <definedName name="DDD" localSheetId="8">#REF!</definedName>
    <definedName name="DDD">#REF!</definedName>
    <definedName name="dddd" localSheetId="14" hidden="1">{"Minpmon",#N/A,FALSE,"Monthinput"}</definedName>
    <definedName name="dddd" hidden="1">{"Minpmon",#N/A,FALSE,"Monthinput"}</definedName>
    <definedName name="dddddd" localSheetId="14" hidden="1">{"Tab1",#N/A,FALSE,"P";"Tab2",#N/A,FALSE,"P"}</definedName>
    <definedName name="dddddd" hidden="1">{"Tab1",#N/A,FALSE,"P";"Tab2",#N/A,FALSE,"P"}</definedName>
    <definedName name="DEBT" localSheetId="1">#REF!</definedName>
    <definedName name="DEBT" localSheetId="14">#REF!</definedName>
    <definedName name="DEBT" localSheetId="8">#REF!</definedName>
    <definedName name="DEBT">#REF!</definedName>
    <definedName name="DEBT_SER" localSheetId="1">#REF!</definedName>
    <definedName name="DEBT_SER" localSheetId="14">#REF!</definedName>
    <definedName name="DEBT_SER" localSheetId="8">#REF!</definedName>
    <definedName name="DEBT_SER">#REF!</definedName>
    <definedName name="DEBT1" localSheetId="1">#REF!</definedName>
    <definedName name="DEBT1" localSheetId="14">#REF!</definedName>
    <definedName name="DEBT1" localSheetId="8">#REF!</definedName>
    <definedName name="DEBT1">#REF!</definedName>
    <definedName name="DEBT10" localSheetId="1">#REF!</definedName>
    <definedName name="DEBT10" localSheetId="8">#REF!</definedName>
    <definedName name="DEBT10">#REF!</definedName>
    <definedName name="DEBT11" localSheetId="1">#REF!</definedName>
    <definedName name="DEBT11" localSheetId="8">#REF!</definedName>
    <definedName name="DEBT11">#REF!</definedName>
    <definedName name="DEBT12" localSheetId="1">#REF!</definedName>
    <definedName name="DEBT12" localSheetId="8">#REF!</definedName>
    <definedName name="DEBT12">#REF!</definedName>
    <definedName name="DEBT13" localSheetId="1">#REF!</definedName>
    <definedName name="DEBT13" localSheetId="8">#REF!</definedName>
    <definedName name="DEBT13">#REF!</definedName>
    <definedName name="DEBT14" localSheetId="1">#REF!</definedName>
    <definedName name="DEBT14" localSheetId="8">#REF!</definedName>
    <definedName name="DEBT14">#REF!</definedName>
    <definedName name="DEBT15" localSheetId="1">#REF!</definedName>
    <definedName name="DEBT15" localSheetId="8">#REF!</definedName>
    <definedName name="DEBT15">#REF!</definedName>
    <definedName name="DEBT16" localSheetId="1">#REF!</definedName>
    <definedName name="DEBT16" localSheetId="8">#REF!</definedName>
    <definedName name="DEBT16">#REF!</definedName>
    <definedName name="DEBT2" localSheetId="1">#REF!</definedName>
    <definedName name="DEBT2" localSheetId="8">#REF!</definedName>
    <definedName name="DEBT2">#REF!</definedName>
    <definedName name="DEBT3" localSheetId="1">#REF!</definedName>
    <definedName name="DEBT3" localSheetId="8">#REF!</definedName>
    <definedName name="DEBT3">#REF!</definedName>
    <definedName name="DEBT4" localSheetId="1">#REF!</definedName>
    <definedName name="DEBT4" localSheetId="8">#REF!</definedName>
    <definedName name="DEBT4">#REF!</definedName>
    <definedName name="DEBT5" localSheetId="1">#REF!</definedName>
    <definedName name="DEBT5" localSheetId="8">#REF!</definedName>
    <definedName name="DEBT5">#REF!</definedName>
    <definedName name="DEBT6" localSheetId="1">#REF!</definedName>
    <definedName name="DEBT6" localSheetId="8">#REF!</definedName>
    <definedName name="DEBT6">#REF!</definedName>
    <definedName name="DEBT7" localSheetId="1">#REF!</definedName>
    <definedName name="DEBT7" localSheetId="8">#REF!</definedName>
    <definedName name="DEBT7">#REF!</definedName>
    <definedName name="DEBT8" localSheetId="1">#REF!</definedName>
    <definedName name="DEBT8" localSheetId="8">#REF!</definedName>
    <definedName name="DEBT8">#REF!</definedName>
    <definedName name="DEBT9" localSheetId="1">#REF!</definedName>
    <definedName name="DEBT9" localSheetId="8">#REF!</definedName>
    <definedName name="DEBT9">#REF!</definedName>
    <definedName name="DEDFEG" localSheetId="1">#REF!</definedName>
    <definedName name="DEDFEG" localSheetId="8">#REF!</definedName>
    <definedName name="DEDFEG">#REF!</definedName>
    <definedName name="defesti" localSheetId="1">#REF!</definedName>
    <definedName name="defesti" localSheetId="8">#REF!</definedName>
    <definedName name="defesti">#REF!</definedName>
    <definedName name="deficit" localSheetId="1">#REF!</definedName>
    <definedName name="deficit" localSheetId="8">#REF!</definedName>
    <definedName name="deficit">#REF!</definedName>
    <definedName name="DEFPIB" localSheetId="1">#REF!</definedName>
    <definedName name="DEFPIB" localSheetId="8">#REF!</definedName>
    <definedName name="DEFPIB">#REF!</definedName>
    <definedName name="Demand_table" localSheetId="1">#REF!</definedName>
    <definedName name="Demand_table" localSheetId="8">#REF!</definedName>
    <definedName name="Demand_table">#REF!</definedName>
    <definedName name="DEP">[40]DEP!$A$1:$R$73</definedName>
    <definedName name="Department" localSheetId="1">#REF!</definedName>
    <definedName name="Department" localSheetId="14">#REF!</definedName>
    <definedName name="Department" localSheetId="8">#REF!</definedName>
    <definedName name="Department">#REF!</definedName>
    <definedName name="der" localSheetId="14" hidden="1">{"Tab1",#N/A,FALSE,"P";"Tab2",#N/A,FALSE,"P"}</definedName>
    <definedName name="der" hidden="1">{"Tab1",#N/A,FALSE,"P";"Tab2",#N/A,FALSE,"P"}</definedName>
    <definedName name="DESC96" localSheetId="1">#REF!</definedName>
    <definedName name="DESC96" localSheetId="14">#REF!</definedName>
    <definedName name="DESC96" localSheetId="8">#REF!</definedName>
    <definedName name="DESC96">#REF!</definedName>
    <definedName name="dexbccr" localSheetId="1">#REF!</definedName>
    <definedName name="dexbccr" localSheetId="14">#REF!</definedName>
    <definedName name="dexbccr" localSheetId="8">#REF!</definedName>
    <definedName name="dexbccr">#REF!</definedName>
    <definedName name="df">'[70]18'!$A$1</definedName>
    <definedName name="dfd">#N/A</definedName>
    <definedName name="DFDF" localSheetId="1">#REF!</definedName>
    <definedName name="DFDF" localSheetId="14">#REF!</definedName>
    <definedName name="DFDF" localSheetId="8">#REF!</definedName>
    <definedName name="DFDF">#REF!</definedName>
    <definedName name="dfg">'[70]13'!$A$1</definedName>
    <definedName name="dfghdghd" localSheetId="1">#REF!</definedName>
    <definedName name="dfghdghd" localSheetId="14">#REF!</definedName>
    <definedName name="dfghdghd" localSheetId="8">#REF!</definedName>
    <definedName name="dfghdghd">#REF!</definedName>
    <definedName name="dfgs" localSheetId="1">#REF!</definedName>
    <definedName name="dfgs" localSheetId="14">#REF!</definedName>
    <definedName name="dfgs" localSheetId="8">#REF!</definedName>
    <definedName name="dfgs">#REF!</definedName>
    <definedName name="dfsd" localSheetId="1">#REF!</definedName>
    <definedName name="dfsd" localSheetId="14">#REF!</definedName>
    <definedName name="dfsd" localSheetId="8">#REF!</definedName>
    <definedName name="dfsd">#REF!</definedName>
    <definedName name="dfsgsfgsdfgs" localSheetId="1">#REF!</definedName>
    <definedName name="dfsgsfgsdfgs" localSheetId="8">#REF!</definedName>
    <definedName name="dfsgsfgsdfgs">#REF!</definedName>
    <definedName name="dftyihiuh" localSheetId="14" hidden="1">{"macro",#N/A,FALSE,"Macro";"smq2",#N/A,FALSE,"Data";"smq3",#N/A,FALSE,"Data";"smq4",#N/A,FALSE,"Data";"smq5",#N/A,FALSE,"Data";"smq6",#N/A,FALSE,"Data";"smq7",#N/A,FALSE,"Data";"smq8",#N/A,FALSE,"Data";"smq9",#N/A,FALSE,"Data"}</definedName>
    <definedName name="dftyihiuh" hidden="1">{"macro",#N/A,FALSE,"Macro";"smq2",#N/A,FALSE,"Data";"smq3",#N/A,FALSE,"Data";"smq4",#N/A,FALSE,"Data";"smq5",#N/A,FALSE,"Data";"smq6",#N/A,FALSE,"Data";"smq7",#N/A,FALSE,"Data";"smq8",#N/A,FALSE,"Data";"smq9",#N/A,FALSE,"Data"}</definedName>
    <definedName name="dghetrewty" localSheetId="1">#REF!</definedName>
    <definedName name="dghetrewty" localSheetId="14">#REF!</definedName>
    <definedName name="dghetrewty" localSheetId="8">#REF!</definedName>
    <definedName name="dghetrewty">#REF!</definedName>
    <definedName name="DGproj">#N/A</definedName>
    <definedName name="DGSA" localSheetId="1">#REF!</definedName>
    <definedName name="DGSA" localSheetId="14">#REF!</definedName>
    <definedName name="DGSA" localSheetId="8">#REF!</definedName>
    <definedName name="DGSA">#REF!</definedName>
    <definedName name="dia">[40]RES!$U$1:$AL$80</definedName>
    <definedName name="Diana" localSheetId="1" hidden="1">[71]Retroactivos!#REF!</definedName>
    <definedName name="Diana" localSheetId="14" hidden="1">[71]Retroactivos!#REF!</definedName>
    <definedName name="Diana" localSheetId="8" hidden="1">[71]Retroactivos!#REF!</definedName>
    <definedName name="Diana" hidden="1">[71]Retroactivos!#REF!</definedName>
    <definedName name="Discount_IDA">'[72]Servicio Deuda Nueva'!$B$25</definedName>
    <definedName name="Discount_NC" localSheetId="1">#REF!</definedName>
    <definedName name="Discount_NC" localSheetId="14">#REF!</definedName>
    <definedName name="Discount_NC" localSheetId="8">#REF!</definedName>
    <definedName name="Discount_NC">#REF!</definedName>
    <definedName name="Discount_Rate_GE">'[73]Data-Input'!$C$7</definedName>
    <definedName name="discountrate">[57]Tables!$B$3:$C$21</definedName>
    <definedName name="div">1000000</definedName>
    <definedName name="djop" localSheetId="14" hidden="1">{"macro",#N/A,FALSE,"Macro";"smq2",#N/A,FALSE,"Data";"smq3",#N/A,FALSE,"Data";"smq4",#N/A,FALSE,"Data";"smq5",#N/A,FALSE,"Data";"smq6",#N/A,FALSE,"Data";"smq7",#N/A,FALSE,"Data";"smq8",#N/A,FALSE,"Data";"smq9",#N/A,FALSE,"Data"}</definedName>
    <definedName name="djop" hidden="1">{"macro",#N/A,FALSE,"Macro";"smq2",#N/A,FALSE,"Data";"smq3",#N/A,FALSE,"Data";"smq4",#N/A,FALSE,"Data";"smq5",#N/A,FALSE,"Data";"smq6",#N/A,FALSE,"Data";"smq7",#N/A,FALSE,"Data";"smq8",#N/A,FALSE,"Data";"smq9",#N/A,FALSE,"Data"}</definedName>
    <definedName name="DMBYS">[62]RESULTADOS!$A$86:$IV$86</definedName>
    <definedName name="DNP">[62]SUPUESTOS!A$18</definedName>
    <definedName name="DPOB">[62]SUPUESTOS!A$7</definedName>
    <definedName name="Dproj">#N/A</definedName>
    <definedName name="DRFP">'[62]SMONET-FINANC'!$A$99:$IV$99</definedName>
    <definedName name="DSD">#N/A</definedName>
    <definedName name="DSD_S">#N/A</definedName>
    <definedName name="DSDB">#N/A</definedName>
    <definedName name="DSDG">#N/A</definedName>
    <definedName name="DSIBproj">#N/A</definedName>
    <definedName name="DSIGproj">#N/A</definedName>
    <definedName name="DSIproj">#N/A</definedName>
    <definedName name="DSISD">#N/A</definedName>
    <definedName name="DSISDB">#N/A</definedName>
    <definedName name="DSISDG">#N/A</definedName>
    <definedName name="DSPBproj">#N/A</definedName>
    <definedName name="DSPGproj">#N/A</definedName>
    <definedName name="DSPproj">#N/A</definedName>
    <definedName name="DSPSD">#N/A</definedName>
    <definedName name="DSPSDB">#N/A</definedName>
    <definedName name="DSPSDG">#N/A</definedName>
    <definedName name="DXBYS">[62]RESULTADOS!$A$82:$IV$82</definedName>
    <definedName name="E">#N/A</definedName>
    <definedName name="EC">[35]EC!$A$1:$AC$89</definedName>
    <definedName name="Ecofuturo" localSheetId="1">[47]listas!#REF!</definedName>
    <definedName name="Ecofuturo" localSheetId="14">[47]listas!#REF!</definedName>
    <definedName name="Ecofuturo" localSheetId="8">[47]listas!#REF!</definedName>
    <definedName name="Ecofuturo">[47]listas!#REF!</definedName>
    <definedName name="Ecowas" localSheetId="1">[41]Terms!#REF!</definedName>
    <definedName name="Ecowas" localSheetId="14">[41]Terms!#REF!</definedName>
    <definedName name="Ecowas" localSheetId="8">[41]Terms!#REF!</definedName>
    <definedName name="Ecowas">[41]Terms!#REF!</definedName>
    <definedName name="ecyrt" localSheetId="14" hidden="1">{#N/A,#N/A,FALSE,"EXTDEBT"}</definedName>
    <definedName name="ecyrt" hidden="1">{#N/A,#N/A,FALSE,"EXTDEBT"}</definedName>
    <definedName name="EDNA">#N/A</definedName>
    <definedName name="edr" localSheetId="14" hidden="1">{"Riqfin97",#N/A,FALSE,"Tran";"Riqfinpro",#N/A,FALSE,"Tran"}</definedName>
    <definedName name="edr" hidden="1">{"Riqfin97",#N/A,FALSE,"Tran";"Riqfinpro",#N/A,FALSE,"Tran"}</definedName>
    <definedName name="EDSSDESCRIPTOR" localSheetId="1">#REF!</definedName>
    <definedName name="EDSSDESCRIPTOR" localSheetId="14">#REF!</definedName>
    <definedName name="EDSSDESCRIPTOR" localSheetId="8">#REF!</definedName>
    <definedName name="EDSSDESCRIPTOR">#REF!</definedName>
    <definedName name="EDSSFILE" localSheetId="1">#REF!</definedName>
    <definedName name="EDSSFILE" localSheetId="14">#REF!</definedName>
    <definedName name="EDSSFILE" localSheetId="8">#REF!</definedName>
    <definedName name="EDSSFILE">#REF!</definedName>
    <definedName name="EDSSNAME" localSheetId="1">#REF!</definedName>
    <definedName name="EDSSNAME" localSheetId="14">#REF!</definedName>
    <definedName name="EDSSNAME" localSheetId="8">#REF!</definedName>
    <definedName name="EDSSNAME">#REF!</definedName>
    <definedName name="EDSSTABLES" localSheetId="1">#REF!</definedName>
    <definedName name="EDSSTABLES" localSheetId="8">#REF!</definedName>
    <definedName name="EDSSTABLES">#REF!</definedName>
    <definedName name="EDSSTIME" localSheetId="1">#REF!</definedName>
    <definedName name="EDSSTIME" localSheetId="8">#REF!</definedName>
    <definedName name="EDSSTIME">#REF!</definedName>
    <definedName name="EE">[35]EE!$A$1:$AC$89</definedName>
    <definedName name="EE_Table_02.___Selected_National_Accounts_Aggregates" localSheetId="1">#REF!</definedName>
    <definedName name="EE_Table_02.___Selected_National_Accounts_Aggregates" localSheetId="14">#REF!</definedName>
    <definedName name="EE_Table_02.___Selected_National_Accounts_Aggregates" localSheetId="8">#REF!</definedName>
    <definedName name="EE_Table_02.___Selected_National_Accounts_Aggregates">#REF!</definedName>
    <definedName name="EE_Table_03.___Expenditure_and_Savings" localSheetId="1">#REF!</definedName>
    <definedName name="EE_Table_03.___Expenditure_and_Savings" localSheetId="14">#REF!</definedName>
    <definedName name="EE_Table_03.___Expenditure_and_Savings" localSheetId="8">#REF!</definedName>
    <definedName name="EE_Table_03.___Expenditure_and_Savings">#REF!</definedName>
    <definedName name="EE_Table_04.___Consumer_Price_Indices____1" localSheetId="1">#REF!</definedName>
    <definedName name="EE_Table_04.___Consumer_Price_Indices____1" localSheetId="14">#REF!</definedName>
    <definedName name="EE_Table_04.___Consumer_Price_Indices____1" localSheetId="8">#REF!</definedName>
    <definedName name="EE_Table_04.___Consumer_Price_Indices____1">#REF!</definedName>
    <definedName name="EE_Table_16.__National_Accounts_at_Current_Prices" localSheetId="1">#REF!</definedName>
    <definedName name="EE_Table_16.__National_Accounts_at_Current_Prices" localSheetId="8">#REF!</definedName>
    <definedName name="EE_Table_16.__National_Accounts_at_Current_Prices">#REF!</definedName>
    <definedName name="EE_Table_17___Real_Gross_Domestic_Expenditure" localSheetId="1">#REF!</definedName>
    <definedName name="EE_Table_17___Real_Gross_Domestic_Expenditure" localSheetId="8">#REF!</definedName>
    <definedName name="EE_Table_17___Real_Gross_Domestic_Expenditure">#REF!</definedName>
    <definedName name="EE_Table_18.__Real_Gross_Domestic_Product_by_Sector" localSheetId="1">#REF!</definedName>
    <definedName name="EE_Table_18.__Real_Gross_Domestic_Product_by_Sector" localSheetId="8">#REF!</definedName>
    <definedName name="EE_Table_18.__Real_Gross_Domestic_Product_by_Sector">#REF!</definedName>
    <definedName name="EE_Table_19.__Gross_Domestic_Investment" localSheetId="1">#REF!</definedName>
    <definedName name="EE_Table_19.__Gross_Domestic_Investment" localSheetId="8">#REF!</definedName>
    <definedName name="EE_Table_19.__Gross_Domestic_Investment">#REF!</definedName>
    <definedName name="EE_Table_20.__Selected_Agricultural_Sector_Statistics" localSheetId="1">#REF!</definedName>
    <definedName name="EE_Table_20.__Selected_Agricultural_Sector_Statistics" localSheetId="8">#REF!</definedName>
    <definedName name="EE_Table_20.__Selected_Agricultural_Sector_Statistics">#REF!</definedName>
    <definedName name="EE_Table_20.5__Ag_Sector_Statistics__concluded" localSheetId="1">#REF!</definedName>
    <definedName name="EE_Table_20.5__Ag_Sector_Statistics__concluded" localSheetId="8">#REF!</definedName>
    <definedName name="EE_Table_20.5__Ag_Sector_Statistics__concluded">#REF!</definedName>
    <definedName name="EE_Table_21.__Manufacturing_Production" localSheetId="1">#REF!</definedName>
    <definedName name="EE_Table_21.__Manufacturing_Production" localSheetId="8">#REF!</definedName>
    <definedName name="EE_Table_21.__Manufacturing_Production">#REF!</definedName>
    <definedName name="EE_Table_22.__Production_Exports_and_Imports_of_Petroleum" localSheetId="1">#REF!</definedName>
    <definedName name="EE_Table_22.__Production_Exports_and_Imports_of_Petroleum" localSheetId="8">#REF!</definedName>
    <definedName name="EE_Table_22.__Production_Exports_and_Imports_of_Petroleum">#REF!</definedName>
    <definedName name="EE_Table_23.__Retail_Prices_for_Petroleum_Products" localSheetId="1">#REF!</definedName>
    <definedName name="EE_Table_23.__Retail_Prices_for_Petroleum_Products" localSheetId="8">#REF!</definedName>
    <definedName name="EE_Table_23.__Retail_Prices_for_Petroleum_Products">#REF!</definedName>
    <definedName name="EE_Table_24.__Consumption_of_Petroleum_and_Derivatives" localSheetId="1">#REF!</definedName>
    <definedName name="EE_Table_24.__Consumption_of_Petroleum_and_Derivatives" localSheetId="8">#REF!</definedName>
    <definedName name="EE_Table_24.__Consumption_of_Petroleum_and_Derivatives">#REF!</definedName>
    <definedName name="EE_Table_25.__Production_and_Distribution_Electricity" localSheetId="1">#REF!</definedName>
    <definedName name="EE_Table_25.__Production_and_Distribution_Electricity" localSheetId="8">#REF!</definedName>
    <definedName name="EE_Table_25.__Production_and_Distribution_Electricity">#REF!</definedName>
    <definedName name="EE_Table_26.__Average_Price_of_Electricity" localSheetId="1">#REF!</definedName>
    <definedName name="EE_Table_26.__Average_Price_of_Electricity" localSheetId="8">#REF!</definedName>
    <definedName name="EE_Table_26.__Average_Price_of_Electricity">#REF!</definedName>
    <definedName name="EE_Table_27.__Guatemala___Consumer_Price_Indices__1" localSheetId="1">#REF!</definedName>
    <definedName name="EE_Table_27.__Guatemala___Consumer_Price_Indices__1" localSheetId="8">#REF!</definedName>
    <definedName name="EE_Table_27.__Guatemala___Consumer_Price_Indices__1">#REF!</definedName>
    <definedName name="EE_Table_28._Guatemala___Selected_Wage_Indicators_1" localSheetId="1">#REF!</definedName>
    <definedName name="EE_Table_28._Guatemala___Selected_Wage_Indicators_1" localSheetId="8">#REF!</definedName>
    <definedName name="EE_Table_28._Guatemala___Selected_Wage_Indicators_1">#REF!</definedName>
    <definedName name="EE_Table_29.__Minimum_Monthly_Wages_by_Economic_Activity" localSheetId="1">#REF!</definedName>
    <definedName name="EE_Table_29.__Minimum_Monthly_Wages_by_Economic_Activity" localSheetId="8">#REF!</definedName>
    <definedName name="EE_Table_29.__Minimum_Monthly_Wages_by_Economic_Activity">#REF!</definedName>
    <definedName name="EE_Table_30._Guatemala___Selected_Employment_and_Labor_Productivity_Indicators" localSheetId="1">#REF!</definedName>
    <definedName name="EE_Table_30._Guatemala___Selected_Employment_and_Labor_Productivity_Indicators" localSheetId="8">#REF!</definedName>
    <definedName name="EE_Table_30._Guatemala___Selected_Employment_and_Labor_Productivity_Indicators">#REF!</definedName>
    <definedName name="EE_Table_31._Wage_and_Employment_Indicators_1" localSheetId="1">#REF!</definedName>
    <definedName name="EE_Table_31._Wage_and_Employment_Indicators_1" localSheetId="8">#REF!</definedName>
    <definedName name="EE_Table_31._Wage_and_Employment_Indicators_1">#REF!</definedName>
    <definedName name="EE_Table_32_ULC_PROD_indicators" localSheetId="1">#REF!</definedName>
    <definedName name="EE_Table_32_ULC_PROD_indicators" localSheetId="8">#REF!</definedName>
    <definedName name="EE_Table_32_ULC_PROD_indicators">#REF!</definedName>
    <definedName name="EE_Table_33_Indicators_of_Competitiveness" localSheetId="1">#REF!</definedName>
    <definedName name="EE_Table_33_Indicators_of_Competitiveness" localSheetId="8">#REF!</definedName>
    <definedName name="EE_Table_33_Indicators_of_Competitiveness">#REF!</definedName>
    <definedName name="eee" localSheetId="14" hidden="1">{"Tab1",#N/A,FALSE,"P";"Tab2",#N/A,FALSE,"P"}</definedName>
    <definedName name="eee" hidden="1">{"Tab1",#N/A,FALSE,"P";"Tab2",#N/A,FALSE,"P"}</definedName>
    <definedName name="eeee" localSheetId="14" hidden="1">{"Riqfin97",#N/A,FALSE,"Tran";"Riqfinpro",#N/A,FALSE,"Tran"}</definedName>
    <definedName name="eeee" hidden="1">{"Riqfin97",#N/A,FALSE,"Tran";"Riqfinpro",#N/A,FALSE,"Tran"}</definedName>
    <definedName name="eeeee" localSheetId="1">#REF!</definedName>
    <definedName name="eeeee" localSheetId="14">#REF!</definedName>
    <definedName name="eeeee" localSheetId="8">#REF!</definedName>
    <definedName name="eeeee">#REF!</definedName>
    <definedName name="eeeeeee" localSheetId="14" hidden="1">{"Riqfin97",#N/A,FALSE,"Tran";"Riqfinpro",#N/A,FALSE,"Tran"}</definedName>
    <definedName name="eeeeeee" hidden="1">{"Riqfin97",#N/A,FALSE,"Tran";"Riqfinpro",#N/A,FALSE,"Tran"}</definedName>
    <definedName name="eererere" localSheetId="1">'[74]2005OEC'!#REF!</definedName>
    <definedName name="eererere" localSheetId="8">'[74]2005OEC'!#REF!</definedName>
    <definedName name="eererere">'[74]2005OEC'!#REF!</definedName>
    <definedName name="EG" localSheetId="1">#REF!</definedName>
    <definedName name="EG" localSheetId="14">#REF!</definedName>
    <definedName name="EG" localSheetId="8">#REF!</definedName>
    <definedName name="EG">#REF!</definedName>
    <definedName name="EGA" localSheetId="1">#REF!</definedName>
    <definedName name="EGA" localSheetId="14">#REF!</definedName>
    <definedName name="EGA" localSheetId="8">#REF!</definedName>
    <definedName name="EGA">#REF!</definedName>
    <definedName name="EGAd" localSheetId="1">#REF!</definedName>
    <definedName name="EGAd" localSheetId="14">#REF!</definedName>
    <definedName name="EGAd" localSheetId="8">#REF!</definedName>
    <definedName name="EGAd">#REF!</definedName>
    <definedName name="EGC">[35]EC!$A$1:$AC$89</definedName>
    <definedName name="EGL">[35]EGL!$A$1:$AC$89</definedName>
    <definedName name="EGSAO" localSheetId="1">#REF!</definedName>
    <definedName name="EGSAO" localSheetId="14">#REF!</definedName>
    <definedName name="EGSAO" localSheetId="8">#REF!</definedName>
    <definedName name="EGSAO">#REF!</definedName>
    <definedName name="eimo" localSheetId="1">#REF!</definedName>
    <definedName name="eimo" localSheetId="14">#REF!</definedName>
    <definedName name="eimo" localSheetId="8">#REF!</definedName>
    <definedName name="eimo">#REF!</definedName>
    <definedName name="EISCODE" localSheetId="1">#REF!</definedName>
    <definedName name="EISCODE" localSheetId="14">#REF!</definedName>
    <definedName name="EISCODE" localSheetId="8">#REF!</definedName>
    <definedName name="EISCODE">#REF!</definedName>
    <definedName name="EJECMENSUALTRASLADO" localSheetId="1">#REF!</definedName>
    <definedName name="EJECMENSUALTRASLADO" localSheetId="8">#REF!</definedName>
    <definedName name="EJECMENSUALTRASLADO">#REF!</definedName>
    <definedName name="EL">[35]EL!$A$1:$AC$89</definedName>
    <definedName name="ele" localSheetId="1">#REF!</definedName>
    <definedName name="ele" localSheetId="14">#REF!</definedName>
    <definedName name="ele" localSheetId="8">#REF!</definedName>
    <definedName name="ele">#REF!</definedName>
    <definedName name="elect" localSheetId="1">#REF!</definedName>
    <definedName name="elect" localSheetId="14">#REF!</definedName>
    <definedName name="elect" localSheetId="8">#REF!</definedName>
    <definedName name="elect">#REF!</definedName>
    <definedName name="ELV" localSheetId="1">[75]FIN!#REF!</definedName>
    <definedName name="ELV" localSheetId="14">[75]FIN!#REF!</definedName>
    <definedName name="ELV" localSheetId="8">[75]FIN!#REF!</definedName>
    <definedName name="ELV">[75]FIN!#REF!</definedName>
    <definedName name="EM96_" localSheetId="1">'[5]Prog-2011'!#REF!</definedName>
    <definedName name="EM96_" localSheetId="14">'[5]Prog-2011'!#REF!</definedName>
    <definedName name="EM96_" localSheetId="8">'[5]Prog-2011'!#REF!</definedName>
    <definedName name="EM96_">'[5]Prog-2011'!#REF!</definedName>
    <definedName name="EM97_" localSheetId="1">'[5]Prog-2011'!#REF!</definedName>
    <definedName name="EM97_" localSheetId="8">'[5]Prog-2011'!#REF!</definedName>
    <definedName name="EM97_">'[5]Prog-2011'!#REF!</definedName>
    <definedName name="EMANUAL" localSheetId="1">'[5]Prog-2011'!#REF!</definedName>
    <definedName name="EMANUAL" localSheetId="8">'[5]Prog-2011'!#REF!</definedName>
    <definedName name="EMANUAL">'[5]Prog-2011'!#REF!</definedName>
    <definedName name="EMANUALPIB" localSheetId="1">'[5]Prog-2011'!#REF!</definedName>
    <definedName name="EMANUALPIB" localSheetId="8">'[5]Prog-2011'!#REF!</definedName>
    <definedName name="EMANUALPIB">'[5]Prog-2011'!#REF!</definedName>
    <definedName name="EMETEL" localSheetId="1">#REF!</definedName>
    <definedName name="EMETEL" localSheetId="14">#REF!</definedName>
    <definedName name="EMETEL" localSheetId="8">#REF!</definedName>
    <definedName name="EMETEL">#REF!</definedName>
    <definedName name="emi98j" localSheetId="1">[22]Programa!#REF!</definedName>
    <definedName name="emi98j" localSheetId="8">[22]Programa!#REF!</definedName>
    <definedName name="emi98j">[22]Programa!#REF!</definedName>
    <definedName name="emi98s" localSheetId="1">#REF!</definedName>
    <definedName name="emi98s" localSheetId="14">#REF!</definedName>
    <definedName name="emi98s" localSheetId="8">#REF!</definedName>
    <definedName name="emi98s">#REF!</definedName>
    <definedName name="Emp._Operadoras_Impuesto_varios" localSheetId="1">#REF!</definedName>
    <definedName name="Emp._Operadoras_Impuesto_varios" localSheetId="14">#REF!</definedName>
    <definedName name="Emp._Operadoras_Impuesto_varios" localSheetId="8">#REF!</definedName>
    <definedName name="Emp._Operadoras_Impuesto_varios">#REF!</definedName>
    <definedName name="Emp._Subsidiarias__IUE_2012" localSheetId="1">#REF!</definedName>
    <definedName name="Emp._Subsidiarias__IUE_2012" localSheetId="14">#REF!</definedName>
    <definedName name="Emp._Subsidiarias__IUE_2012" localSheetId="8">#REF!</definedName>
    <definedName name="Emp._Subsidiarias__IUE_2012">#REF!</definedName>
    <definedName name="ENCACBB" localSheetId="1">#REF!</definedName>
    <definedName name="ENCACBB" localSheetId="8">#REF!</definedName>
    <definedName name="ENCACBB">#REF!</definedName>
    <definedName name="encajec" localSheetId="1">#REF!</definedName>
    <definedName name="encajec" localSheetId="8">#REF!</definedName>
    <definedName name="encajec">#REF!</definedName>
    <definedName name="encajed" localSheetId="1">#REF!</definedName>
    <definedName name="encajed" localSheetId="8">#REF!</definedName>
    <definedName name="encajed">#REF!</definedName>
    <definedName name="ENCALPZ" localSheetId="1">#REF!</definedName>
    <definedName name="ENCALPZ" localSheetId="8">#REF!</definedName>
    <definedName name="ENCALPZ">#REF!</definedName>
    <definedName name="ENCAOTRAS1" localSheetId="1">#REF!</definedName>
    <definedName name="ENCAOTRAS1" localSheetId="8">#REF!</definedName>
    <definedName name="ENCAOTRAS1">#REF!</definedName>
    <definedName name="ENCAOTRAS2" localSheetId="1">#REF!</definedName>
    <definedName name="ENCAOTRAS2" localSheetId="8">#REF!</definedName>
    <definedName name="ENCAOTRAS2">#REF!</definedName>
    <definedName name="encaresu" localSheetId="1">#REF!</definedName>
    <definedName name="encaresu" localSheetId="8">#REF!</definedName>
    <definedName name="encaresu">#REF!</definedName>
    <definedName name="encaresu2" localSheetId="1">#REF!</definedName>
    <definedName name="encaresu2" localSheetId="8">#REF!</definedName>
    <definedName name="encaresu2">#REF!</definedName>
    <definedName name="ENCASCR" localSheetId="1">#REF!</definedName>
    <definedName name="ENCASCR" localSheetId="8">#REF!</definedName>
    <definedName name="ENCASCR">#REF!</definedName>
    <definedName name="ENCASCZ" localSheetId="1">#REF!</definedName>
    <definedName name="ENCASCZ" localSheetId="8">#REF!</definedName>
    <definedName name="ENCASCZ">#REF!</definedName>
    <definedName name="ENCATJA" localSheetId="1">#REF!</definedName>
    <definedName name="ENCATJA" localSheetId="8">#REF!</definedName>
    <definedName name="ENCATJA">#REF!</definedName>
    <definedName name="encaunrc" localSheetId="1">#REF!</definedName>
    <definedName name="encaunrc" localSheetId="8">#REF!</definedName>
    <definedName name="encaunrc">#REF!</definedName>
    <definedName name="End_Bal" localSheetId="1">#REF!</definedName>
    <definedName name="End_Bal" localSheetId="8">#REF!</definedName>
    <definedName name="End_Bal">#REF!</definedName>
    <definedName name="ENDA">[49]Q6!$E$147:$AH$147</definedName>
    <definedName name="Entidad" localSheetId="1">[47]listas!#REF!</definedName>
    <definedName name="Entidad" localSheetId="14">[47]listas!#REF!</definedName>
    <definedName name="Entidad" localSheetId="8">[47]listas!#REF!</definedName>
    <definedName name="Entidad">[47]listas!#REF!</definedName>
    <definedName name="ENTIDADES_BANCARIAS_BALANCE" localSheetId="1">#REF!</definedName>
    <definedName name="ENTIDADES_BANCARIAS_BALANCE" localSheetId="14">#REF!</definedName>
    <definedName name="ENTIDADES_BANCARIAS_BALANCE" localSheetId="8">#REF!</definedName>
    <definedName name="ENTIDADES_BANCARIAS_BALANCE">#REF!</definedName>
    <definedName name="ENTIDADES_FINANCIERAS_NO_BANCARIAS_BALANCE" localSheetId="1">#REF!</definedName>
    <definedName name="ENTIDADES_FINANCIERAS_NO_BANCARIAS_BALANCE" localSheetId="14">#REF!</definedName>
    <definedName name="ENTIDADES_FINANCIERAS_NO_BANCARIAS_BALANCE" localSheetId="8">#REF!</definedName>
    <definedName name="ENTIDADES_FINANCIERAS_NO_BANCARIAS_BALANCE">#REF!</definedName>
    <definedName name="EP">[35]EP!$A$1:$AC$89</definedName>
    <definedName name="EPC" localSheetId="1">#REF!</definedName>
    <definedName name="EPC" localSheetId="14">#REF!</definedName>
    <definedName name="EPC" localSheetId="8">#REF!</definedName>
    <definedName name="EPC">#REF!</definedName>
    <definedName name="EPCd" localSheetId="1">#REF!</definedName>
    <definedName name="EPCd" localSheetId="14">#REF!</definedName>
    <definedName name="EPCd" localSheetId="8">#REF!</definedName>
    <definedName name="EPCd">#REF!</definedName>
    <definedName name="EPG">[35]EPG!$A$1:$AC$93</definedName>
    <definedName name="EPNF96" localSheetId="1">#REF!</definedName>
    <definedName name="EPNF96" localSheetId="14">#REF!</definedName>
    <definedName name="EPNF96" localSheetId="8">#REF!</definedName>
    <definedName name="EPNF96">#REF!</definedName>
    <definedName name="EQ">[35]EQ!$A$1:$AC$91</definedName>
    <definedName name="er" localSheetId="14" hidden="1">{"Main Economic Indicators",#N/A,FALSE,"C"}</definedName>
    <definedName name="er" hidden="1">{"Main Economic Indicators",#N/A,FALSE,"C"}</definedName>
    <definedName name="er56gjh" localSheetId="14" hidden="1">{"TRADE_COMP",#N/A,FALSE,"TAB23APP";"BOP",#N/A,FALSE,"TAB6";"DOT",#N/A,FALSE,"TAB24APP";"EXTDEBT",#N/A,FALSE,"TAB25APP"}</definedName>
    <definedName name="er56gjh" hidden="1">{"TRADE_COMP",#N/A,FALSE,"TAB23APP";"BOP",#N/A,FALSE,"TAB6";"DOT",#N/A,FALSE,"TAB24APP";"EXTDEBT",#N/A,FALSE,"TAB25APP"}</definedName>
    <definedName name="eres">#N/A</definedName>
    <definedName name="ergf" localSheetId="14" hidden="1">{"Main Economic Indicators",#N/A,FALSE,"C"}</definedName>
    <definedName name="ergf" hidden="1">{"Main Economic Indicators",#N/A,FALSE,"C"}</definedName>
    <definedName name="ergferger" localSheetId="14" hidden="1">{"Main Economic Indicators",#N/A,FALSE,"C"}</definedName>
    <definedName name="ergferger" hidden="1">{"Main Economic Indicators",#N/A,FALSE,"C"}</definedName>
    <definedName name="ergferger2" localSheetId="14" hidden="1">{"Main Economic Indicators",#N/A,FALSE,"C"}</definedName>
    <definedName name="ergferger2" hidden="1">{"Main Economic Indicators",#N/A,FALSE,"C"}</definedName>
    <definedName name="ERP">[35]ERP!$A$1:$AC$89</definedName>
    <definedName name="erretry" localSheetId="1">#REF!</definedName>
    <definedName name="erretry" localSheetId="14">#REF!</definedName>
    <definedName name="erretry" localSheetId="8">#REF!</definedName>
    <definedName name="erretry">#REF!</definedName>
    <definedName name="ert" localSheetId="14" hidden="1">{"Minpmon",#N/A,FALSE,"Monthinput"}</definedName>
    <definedName name="ert" hidden="1">{"Minpmon",#N/A,FALSE,"Monthinput"}</definedName>
    <definedName name="erte">'[70]7'!$A$1</definedName>
    <definedName name="erteyrt">'[70]9'!$A$1</definedName>
    <definedName name="ertyer">'[70]5'!$A$1</definedName>
    <definedName name="ertyert" localSheetId="1">#REF!</definedName>
    <definedName name="ertyert" localSheetId="14">#REF!</definedName>
    <definedName name="ertyert" localSheetId="8">#REF!</definedName>
    <definedName name="ertyert">#REF!</definedName>
    <definedName name="ertyertyey" localSheetId="1">#REF!</definedName>
    <definedName name="ertyertyey" localSheetId="14">#REF!</definedName>
    <definedName name="ertyertyey" localSheetId="8">#REF!</definedName>
    <definedName name="ertyertyey">#REF!</definedName>
    <definedName name="ertyryety">'[70]10'!$A$1</definedName>
    <definedName name="estacional" localSheetId="1">#REF!</definedName>
    <definedName name="estacional" localSheetId="14">#REF!</definedName>
    <definedName name="estacional" localSheetId="8">#REF!</definedName>
    <definedName name="estacional">#REF!</definedName>
    <definedName name="ety">'[70]6'!$A$1</definedName>
    <definedName name="evaluation">[57]Tables!$G$26:$H$31</definedName>
    <definedName name="Evaluation_Summary">'[57]What-if'!$A$1:$O$12</definedName>
    <definedName name="EW">[35]EW!$A$1:$AC$89</definedName>
    <definedName name="ewe" localSheetId="1" hidden="1">#REF!</definedName>
    <definedName name="ewe" localSheetId="14" hidden="1">#REF!</definedName>
    <definedName name="ewe" localSheetId="8" hidden="1">#REF!</definedName>
    <definedName name="ewe" hidden="1">#REF!</definedName>
    <definedName name="ewrpoigagoiajflsidj" localSheetId="14" hidden="1">{"macroa",#N/A,FALSE,"Macro";"suma2",#N/A,FALSE,"Data";"suma3",#N/A,FALSE,"Data";"suma4",#N/A,FALSE,"Data";"suma5",#N/A,FALSE,"Data";"suma6",#N/A,FALSE,"Data";"suma7",#N/A,FALSE,"Data";"suma8",#N/A,FALSE,"Data";"suma9",#N/A,FALSE,"Data"}</definedName>
    <definedName name="ewrpoigagoiajflsidj" hidden="1">{"macroa",#N/A,FALSE,"Macro";"suma2",#N/A,FALSE,"Data";"suma3",#N/A,FALSE,"Data";"suma4",#N/A,FALSE,"Data";"suma5",#N/A,FALSE,"Data";"suma6",#N/A,FALSE,"Data";"suma7",#N/A,FALSE,"Data";"suma8",#N/A,FALSE,"Data";"suma9",#N/A,FALSE,"Data"}</definedName>
    <definedName name="Excel_BuiltIn_Print_Titles_10" localSheetId="1">#REF!</definedName>
    <definedName name="Excel_BuiltIn_Print_Titles_10" localSheetId="14">#REF!</definedName>
    <definedName name="Excel_BuiltIn_Print_Titles_10" localSheetId="8">#REF!</definedName>
    <definedName name="Excel_BuiltIn_Print_Titles_10">#REF!</definedName>
    <definedName name="Excel_BuiltIn_Print_Titles_8_1" localSheetId="1">#REF!</definedName>
    <definedName name="Excel_BuiltIn_Print_Titles_8_1" localSheetId="14">#REF!</definedName>
    <definedName name="Excel_BuiltIn_Print_Titles_8_1" localSheetId="8">#REF!</definedName>
    <definedName name="Excel_BuiltIn_Print_Titles_8_1">#REF!</definedName>
    <definedName name="Exch.Rate" localSheetId="1">#REF!</definedName>
    <definedName name="Exch.Rate" localSheetId="14">#REF!</definedName>
    <definedName name="Exch.Rate" localSheetId="8">#REF!</definedName>
    <definedName name="Exch.Rate">#REF!</definedName>
    <definedName name="EXISTENTE" localSheetId="1">'[76] Bruto Fiscalizada'!#REF!</definedName>
    <definedName name="EXISTENTE" localSheetId="14">'[76] Bruto Fiscalizada'!#REF!</definedName>
    <definedName name="EXISTENTE" localSheetId="8">'[76] Bruto Fiscalizada'!#REF!</definedName>
    <definedName name="EXISTENTE">'[76] Bruto Fiscalizada'!#REF!</definedName>
    <definedName name="EXPCONC" localSheetId="1">#REF!</definedName>
    <definedName name="EXPCONC" localSheetId="14">#REF!</definedName>
    <definedName name="EXPCONC" localSheetId="8">#REF!</definedName>
    <definedName name="EXPCONC">#REF!</definedName>
    <definedName name="Exportacion_Por_Importancia">[77]Macro1!$A$1</definedName>
    <definedName name="EXPTOT" localSheetId="1">#REF!</definedName>
    <definedName name="EXPTOT" localSheetId="14">#REF!</definedName>
    <definedName name="EXPTOT" localSheetId="8">#REF!</definedName>
    <definedName name="EXPTOT">#REF!</definedName>
    <definedName name="EXR_UPDATE" localSheetId="1">#REF!</definedName>
    <definedName name="EXR_UPDATE" localSheetId="14">#REF!</definedName>
    <definedName name="EXR_UPDATE" localSheetId="8">#REF!</definedName>
    <definedName name="EXR_UPDATE">#REF!</definedName>
    <definedName name="EXTASS_A" localSheetId="1">#REF!</definedName>
    <definedName name="EXTASS_A" localSheetId="14">#REF!</definedName>
    <definedName name="EXTASS_A" localSheetId="8">#REF!</definedName>
    <definedName name="EXTASS_A">#REF!</definedName>
    <definedName name="EXTASS_G97" localSheetId="1">#REF!</definedName>
    <definedName name="EXTASS_G97" localSheetId="8">#REF!</definedName>
    <definedName name="EXTASS_G97">#REF!</definedName>
    <definedName name="EXTASS_Q96" localSheetId="1">#REF!</definedName>
    <definedName name="EXTASS_Q96" localSheetId="8">#REF!</definedName>
    <definedName name="EXTASS_Q96">#REF!</definedName>
    <definedName name="External_prices_volumes" localSheetId="1">#REF!</definedName>
    <definedName name="External_prices_volumes" localSheetId="8">#REF!</definedName>
    <definedName name="External_prices_volumes">#REF!</definedName>
    <definedName name="Extra_Pay" localSheetId="1">#REF!</definedName>
    <definedName name="Extra_Pay" localSheetId="8">#REF!</definedName>
    <definedName name="Extra_Pay">#REF!</definedName>
    <definedName name="Extras">[58]FREC!$N$24</definedName>
    <definedName name="FDS" localSheetId="1">#REF!</definedName>
    <definedName name="FDS" localSheetId="14">#REF!</definedName>
    <definedName name="FDS" localSheetId="8">#REF!</definedName>
    <definedName name="FDS">#REF!</definedName>
    <definedName name="fdsg" localSheetId="1">#REF!</definedName>
    <definedName name="fdsg" localSheetId="14">#REF!</definedName>
    <definedName name="fdsg" localSheetId="8">#REF!</definedName>
    <definedName name="fdsg">#REF!</definedName>
    <definedName name="feb" localSheetId="1">[22]Programa!#REF!</definedName>
    <definedName name="feb" localSheetId="14">[22]Programa!#REF!</definedName>
    <definedName name="feb" localSheetId="8">[22]Programa!#REF!</definedName>
    <definedName name="feb">[22]Programa!#REF!</definedName>
    <definedName name="FECHA" localSheetId="1">#REF!</definedName>
    <definedName name="FECHA" localSheetId="14">#REF!</definedName>
    <definedName name="FECHA" localSheetId="8">#REF!</definedName>
    <definedName name="FECHA">#REF!</definedName>
    <definedName name="fed" localSheetId="14" hidden="1">{"Riqfin97",#N/A,FALSE,"Tran";"Riqfinpro",#N/A,FALSE,"Tran"}</definedName>
    <definedName name="fed" hidden="1">{"Riqfin97",#N/A,FALSE,"Tran";"Riqfinpro",#N/A,FALSE,"Tran"}</definedName>
    <definedName name="FEFEF" localSheetId="1" hidden="1">'[78]Operac. spnf'!#REF!</definedName>
    <definedName name="FEFEF" localSheetId="8" hidden="1">'[78]Operac. spnf'!#REF!</definedName>
    <definedName name="FEFEF" hidden="1">'[78]Operac. spnf'!#REF!</definedName>
    <definedName name="fer" localSheetId="14" hidden="1">{"Riqfin97",#N/A,FALSE,"Tran";"Riqfinpro",#N/A,FALSE,"Tran"}</definedName>
    <definedName name="fer" hidden="1">{"Riqfin97",#N/A,FALSE,"Tran";"Riqfinpro",#N/A,FALSE,"Tran"}</definedName>
    <definedName name="ff" localSheetId="14" hidden="1">{"Tab1",#N/A,FALSE,"P";"Tab2",#N/A,FALSE,"P"}</definedName>
    <definedName name="ff" hidden="1">{"Tab1",#N/A,FALSE,"P";"Tab2",#N/A,FALSE,"P"}</definedName>
    <definedName name="fff" localSheetId="14" hidden="1">{"Tab1",#N/A,FALSE,"P";"Tab2",#N/A,FALSE,"P"}</definedName>
    <definedName name="fff" hidden="1">{"Tab1",#N/A,FALSE,"P";"Tab2",#N/A,FALSE,"P"}</definedName>
    <definedName name="ffff" localSheetId="14" hidden="1">{"Riqfin97",#N/A,FALSE,"Tran";"Riqfinpro",#N/A,FALSE,"Tran"}</definedName>
    <definedName name="ffff" hidden="1">{"Riqfin97",#N/A,FALSE,"Tran";"Riqfinpro",#N/A,FALSE,"Tran"}</definedName>
    <definedName name="fffff" localSheetId="1">#REF!</definedName>
    <definedName name="fffff" localSheetId="14">#REF!</definedName>
    <definedName name="fffff" localSheetId="8">#REF!</definedName>
    <definedName name="fffff">#REF!</definedName>
    <definedName name="ffffff" localSheetId="14" hidden="1">{"Tab1",#N/A,FALSE,"P";"Tab2",#N/A,FALSE,"P"}</definedName>
    <definedName name="ffffff" hidden="1">{"Tab1",#N/A,FALSE,"P";"Tab2",#N/A,FALSE,"P"}</definedName>
    <definedName name="FFFFFFF" localSheetId="1">#REF!</definedName>
    <definedName name="FFFFFFF" localSheetId="14">#REF!</definedName>
    <definedName name="FFFFFFF" localSheetId="8">#REF!</definedName>
    <definedName name="FFFFFFF">#REF!</definedName>
    <definedName name="ffffffffffffff" localSheetId="14" hidden="1">{"Riqfin97",#N/A,FALSE,"Tran";"Riqfinpro",#N/A,FALSE,"Tran"}</definedName>
    <definedName name="ffffffffffffff" hidden="1">{"Riqfin97",#N/A,FALSE,"Tran";"Riqfinpro",#N/A,FALSE,"Tran"}</definedName>
    <definedName name="fg">'[70]19'!$A$1</definedName>
    <definedName name="fgd" localSheetId="1">#REF!</definedName>
    <definedName name="fgd" localSheetId="14">#REF!</definedName>
    <definedName name="fgd" localSheetId="8">#REF!</definedName>
    <definedName name="fgd">#REF!</definedName>
    <definedName name="fgf" localSheetId="1" hidden="1">#REF!</definedName>
    <definedName name="fgf" localSheetId="14" hidden="1">#REF!</definedName>
    <definedName name="fgf" localSheetId="8" hidden="1">#REF!</definedName>
    <definedName name="fgf" hidden="1">#REF!</definedName>
    <definedName name="fgfgtgf1258" localSheetId="1">#REF!</definedName>
    <definedName name="fgfgtgf1258" localSheetId="14">#REF!</definedName>
    <definedName name="fgfgtgf1258" localSheetId="8">#REF!</definedName>
    <definedName name="fgfgtgf1258">#REF!</definedName>
    <definedName name="Field">'[51]2s'!$AE$3</definedName>
    <definedName name="FINAL" localSheetId="1">#REF!</definedName>
    <definedName name="FINAL" localSheetId="14">#REF!</definedName>
    <definedName name="FINAL" localSheetId="8">#REF!</definedName>
    <definedName name="FINAL">#REF!</definedName>
    <definedName name="finan" localSheetId="1">#REF!</definedName>
    <definedName name="finan" localSheetId="14">#REF!</definedName>
    <definedName name="finan" localSheetId="8">#REF!</definedName>
    <definedName name="finan">#REF!</definedName>
    <definedName name="finan1" localSheetId="1">#REF!</definedName>
    <definedName name="finan1" localSheetId="14">#REF!</definedName>
    <definedName name="finan1" localSheetId="8">#REF!</definedName>
    <definedName name="finan1">#REF!</definedName>
    <definedName name="Financial_Graphs">'[57]Fin Charts'!$J$25:$Y$80</definedName>
    <definedName name="Financial_Summary">'[57]What-if'!$B$56:$R$113</definedName>
    <definedName name="Financing" localSheetId="14" hidden="1">{"Tab1",#N/A,FALSE,"P";"Tab2",#N/A,FALSE,"P"}</definedName>
    <definedName name="Financing" hidden="1">{"Tab1",#N/A,FALSE,"P";"Tab2",#N/A,FALSE,"P"}</definedName>
    <definedName name="Financing_external" localSheetId="1">#REF!</definedName>
    <definedName name="Financing_external" localSheetId="14">#REF!</definedName>
    <definedName name="Financing_external" localSheetId="8">#REF!</definedName>
    <definedName name="Financing_external">#REF!</definedName>
    <definedName name="Financing_fiscal" localSheetId="1">#REF!</definedName>
    <definedName name="Financing_fiscal" localSheetId="14">#REF!</definedName>
    <definedName name="Financing_fiscal" localSheetId="8">#REF!</definedName>
    <definedName name="Financing_fiscal">#REF!</definedName>
    <definedName name="find.this2" localSheetId="14" hidden="1">{"macroa",#N/A,FALSE,"Macro";"suma2",#N/A,FALSE,"Data";"suma3",#N/A,FALSE,"Data";"suma4",#N/A,FALSE,"Data";"suma5",#N/A,FALSE,"Data";"suma6",#N/A,FALSE,"Data";"suma7",#N/A,FALSE,"Data";"suma8",#N/A,FALSE,"Data";"suma9",#N/A,FALSE,"Data"}</definedName>
    <definedName name="find.this2" hidden="1">{"macroa",#N/A,FALSE,"Macro";"suma2",#N/A,FALSE,"Data";"suma3",#N/A,FALSE,"Data";"suma4",#N/A,FALSE,"Data";"suma5",#N/A,FALSE,"Data";"suma6",#N/A,FALSE,"Data";"suma7",#N/A,FALSE,"Data";"suma8",#N/A,FALSE,"Data";"suma9",#N/A,FALSE,"Data"}</definedName>
    <definedName name="findthis" localSheetId="14" hidden="1">{"mt1",#N/A,FALSE,"Debt";"mt2",#N/A,FALSE,"Debt";"mt3",#N/A,FALSE,"Debt";"mt4",#N/A,FALSE,"Debt";"mt5",#N/A,FALSE,"Debt";"mt6",#N/A,FALSE,"Debt";"mt7",#N/A,FALSE,"Debt"}</definedName>
    <definedName name="findthis" hidden="1">{"mt1",#N/A,FALSE,"Debt";"mt2",#N/A,FALSE,"Debt";"mt3",#N/A,FALSE,"Debt";"mt4",#N/A,FALSE,"Debt";"mt5",#N/A,FALSE,"Debt";"mt6",#N/A,FALSE,"Debt";"mt7",#N/A,FALSE,"Debt"}</definedName>
    <definedName name="FISC" localSheetId="1">#REF!</definedName>
    <definedName name="FISC" localSheetId="14">#REF!</definedName>
    <definedName name="FISC" localSheetId="8">#REF!</definedName>
    <definedName name="FISC">#REF!</definedName>
    <definedName name="FISUM" localSheetId="1">#REF!</definedName>
    <definedName name="FISUM" localSheetId="14">#REF!</definedName>
    <definedName name="FISUM" localSheetId="8">#REF!</definedName>
    <definedName name="FISUM">#REF!</definedName>
    <definedName name="FLOPEC" localSheetId="1">#REF!</definedName>
    <definedName name="FLOPEC" localSheetId="14">#REF!</definedName>
    <definedName name="FLOPEC" localSheetId="8">#REF!</definedName>
    <definedName name="FLOPEC">#REF!</definedName>
    <definedName name="FLOWS" localSheetId="1">#REF!</definedName>
    <definedName name="FLOWS" localSheetId="8">#REF!</definedName>
    <definedName name="FLOWS">#REF!</definedName>
    <definedName name="fluct" localSheetId="1">#REF!</definedName>
    <definedName name="fluct" localSheetId="8">#REF!</definedName>
    <definedName name="fluct">#REF!</definedName>
    <definedName name="FLUJO">'[79]Base de Datos Proyecciones'!$A$2:$H$2</definedName>
    <definedName name="FMB" localSheetId="1">#REF!</definedName>
    <definedName name="FMB" localSheetId="14">#REF!</definedName>
    <definedName name="FMB" localSheetId="8">#REF!</definedName>
    <definedName name="FMB">#REF!</definedName>
    <definedName name="FODESEC" localSheetId="1">#REF!</definedName>
    <definedName name="FODESEC" localSheetId="14">#REF!</definedName>
    <definedName name="FODESEC" localSheetId="8">#REF!</definedName>
    <definedName name="FODESEC">#REF!</definedName>
    <definedName name="fORMULA" localSheetId="1">#REF!</definedName>
    <definedName name="fORMULA" localSheetId="14">#REF!</definedName>
    <definedName name="fORMULA" localSheetId="8">#REF!</definedName>
    <definedName name="fORMULA">#REF!</definedName>
    <definedName name="fre" localSheetId="14" hidden="1">{"Tab1",#N/A,FALSE,"P";"Tab2",#N/A,FALSE,"P"}</definedName>
    <definedName name="fre" hidden="1">{"Tab1",#N/A,FALSE,"P";"Tab2",#N/A,FALSE,"P"}</definedName>
    <definedName name="fsdfg" localSheetId="1">#REF!</definedName>
    <definedName name="fsdfg" localSheetId="14">#REF!</definedName>
    <definedName name="fsdfg" localSheetId="8">#REF!</definedName>
    <definedName name="fsdfg">#REF!</definedName>
    <definedName name="FSFDSF" localSheetId="1" hidden="1">[71]Retroactivos!#REF!</definedName>
    <definedName name="FSFDSF" localSheetId="14" hidden="1">[71]Retroactivos!#REF!</definedName>
    <definedName name="FSFDSF" localSheetId="8" hidden="1">[71]Retroactivos!#REF!</definedName>
    <definedName name="FSFDSF" hidden="1">[71]Retroactivos!#REF!</definedName>
    <definedName name="fsgsgfs" localSheetId="1">#REF!</definedName>
    <definedName name="fsgsgfs" localSheetId="14">#REF!</definedName>
    <definedName name="fsgsgfs" localSheetId="8">#REF!</definedName>
    <definedName name="fsgsgfs">#REF!</definedName>
    <definedName name="ftaref" localSheetId="1">#REF!</definedName>
    <definedName name="ftaref" localSheetId="14">#REF!</definedName>
    <definedName name="ftaref" localSheetId="8">#REF!</definedName>
    <definedName name="ftaref">#REF!</definedName>
    <definedName name="ftconf" localSheetId="1">#REF!</definedName>
    <definedName name="ftconf" localSheetId="14">#REF!</definedName>
    <definedName name="ftconf" localSheetId="8">#REF!</definedName>
    <definedName name="ftconf">#REF!</definedName>
    <definedName name="ftima" localSheetId="1">#REF!</definedName>
    <definedName name="ftima" localSheetId="8">#REF!</definedName>
    <definedName name="ftima">#REF!</definedName>
    <definedName name="ftimaf" localSheetId="1">#REF!</definedName>
    <definedName name="ftimaf" localSheetId="8">#REF!</definedName>
    <definedName name="ftimaf">#REF!</definedName>
    <definedName name="ftr" localSheetId="14" hidden="1">{"Riqfin97",#N/A,FALSE,"Tran";"Riqfinpro",#N/A,FALSE,"Tran"}</definedName>
    <definedName name="ftr" hidden="1">{"Riqfin97",#N/A,FALSE,"Tran";"Riqfinpro",#N/A,FALSE,"Tran"}</definedName>
    <definedName name="fty" localSheetId="14" hidden="1">{"Riqfin97",#N/A,FALSE,"Tran";"Riqfinpro",#N/A,FALSE,"Tran"}</definedName>
    <definedName name="fty" hidden="1">{"Riqfin97",#N/A,FALSE,"Tran";"Riqfinpro",#N/A,FALSE,"Tran"}</definedName>
    <definedName name="Full_Print" localSheetId="1">#REF!</definedName>
    <definedName name="Full_Print" localSheetId="14">#REF!</definedName>
    <definedName name="Full_Print" localSheetId="8">#REF!</definedName>
    <definedName name="Full_Print">#REF!</definedName>
    <definedName name="func" localSheetId="1">#REF!</definedName>
    <definedName name="func" localSheetId="14">#REF!</definedName>
    <definedName name="func" localSheetId="8">#REF!</definedName>
    <definedName name="func">#REF!</definedName>
    <definedName name="funcionarios">[58]FUNC!$B$2:$K$246</definedName>
    <definedName name="G" localSheetId="1" hidden="1">[37]Retroactivos!#REF!</definedName>
    <definedName name="G" localSheetId="14" hidden="1">[37]Retroactivos!#REF!</definedName>
    <definedName name="G" localSheetId="8" hidden="1">[37]Retroactivos!#REF!</definedName>
    <definedName name="G" hidden="1">[37]Retroactivos!#REF!</definedName>
    <definedName name="GAAPBS10">'[80]GAAP BALANCE SHEET TB'!$L$2:$N$552</definedName>
    <definedName name="gasmargin">[57]Tables!$G$13:$H$23</definedName>
    <definedName name="GATO" localSheetId="1">#REF!</definedName>
    <definedName name="GATO" localSheetId="14">#REF!</definedName>
    <definedName name="GATO" localSheetId="8">#REF!</definedName>
    <definedName name="GATO">#REF!</definedName>
    <definedName name="GBGBGBG" localSheetId="1">#REF!</definedName>
    <definedName name="GBGBGBG" localSheetId="14">#REF!</definedName>
    <definedName name="GBGBGBG" localSheetId="8">#REF!</definedName>
    <definedName name="GBGBGBG">#REF!</definedName>
    <definedName name="GCB" localSheetId="1">#REF!</definedName>
    <definedName name="GCB" localSheetId="14">#REF!</definedName>
    <definedName name="GCB" localSheetId="8">#REF!</definedName>
    <definedName name="GCB">#REF!</definedName>
    <definedName name="GCB_NGDP">#N/A</definedName>
    <definedName name="GCEC" localSheetId="1">#REF!</definedName>
    <definedName name="GCEC" localSheetId="14">#REF!</definedName>
    <definedName name="GCEC" localSheetId="8">#REF!</definedName>
    <definedName name="GCEC">#REF!</definedName>
    <definedName name="GCEI" localSheetId="1">#REF!</definedName>
    <definedName name="GCEI" localSheetId="14">#REF!</definedName>
    <definedName name="GCEI" localSheetId="8">#REF!</definedName>
    <definedName name="GCEI">#REF!</definedName>
    <definedName name="GCENL" localSheetId="1">#REF!</definedName>
    <definedName name="GCENL" localSheetId="14">#REF!</definedName>
    <definedName name="GCENL" localSheetId="8">#REF!</definedName>
    <definedName name="GCENL">#REF!</definedName>
    <definedName name="GCND" localSheetId="1">#REF!</definedName>
    <definedName name="GCND" localSheetId="8">#REF!</definedName>
    <definedName name="GCND">#REF!</definedName>
    <definedName name="GCRG" localSheetId="1">#REF!</definedName>
    <definedName name="GCRG" localSheetId="8">#REF!</definedName>
    <definedName name="GCRG">#REF!</definedName>
    <definedName name="GDPDEFL" localSheetId="1">[81]NA!#REF!</definedName>
    <definedName name="GDPDEFL" localSheetId="8">[81]NA!#REF!</definedName>
    <definedName name="GDPDEFL">[81]NA!#REF!</definedName>
    <definedName name="GDPOR" localSheetId="1">[81]NA!#REF!</definedName>
    <definedName name="GDPOR" localSheetId="8">[81]NA!#REF!</definedName>
    <definedName name="GDPOR">[81]NA!#REF!</definedName>
    <definedName name="GDPOR_" localSheetId="1">[81]NA!#REF!</definedName>
    <definedName name="GDPOR_" localSheetId="8">[81]NA!#REF!</definedName>
    <definedName name="GDPOR_">[81]NA!#REF!</definedName>
    <definedName name="GE">[35]GE!$A$1:$AC$92</definedName>
    <definedName name="gfd" localSheetId="14" hidden="1">{"mt1",#N/A,FALSE,"Debt";"mt2",#N/A,FALSE,"Debt";"mt3",#N/A,FALSE,"Debt";"mt4",#N/A,FALSE,"Debt";"mt5",#N/A,FALSE,"Debt";"mt6",#N/A,FALSE,"Debt";"mt7",#N/A,FALSE,"Debt"}</definedName>
    <definedName name="gfd" hidden="1">{"mt1",#N/A,FALSE,"Debt";"mt2",#N/A,FALSE,"Debt";"mt3",#N/A,FALSE,"Debt";"mt4",#N/A,FALSE,"Debt";"mt5",#N/A,FALSE,"Debt";"mt6",#N/A,FALSE,"Debt";"mt7",#N/A,FALSE,"Debt"}</definedName>
    <definedName name="gfyrh" localSheetId="1">#REF!</definedName>
    <definedName name="gfyrh" localSheetId="14">#REF!</definedName>
    <definedName name="gfyrh" localSheetId="8">#REF!</definedName>
    <definedName name="gfyrh">#REF!</definedName>
    <definedName name="GG96_" localSheetId="1">'[5]Prog-2011'!#REF!</definedName>
    <definedName name="GG96_" localSheetId="14">'[5]Prog-2011'!#REF!</definedName>
    <definedName name="GG96_" localSheetId="8">'[5]Prog-2011'!#REF!</definedName>
    <definedName name="GG96_">'[5]Prog-2011'!#REF!</definedName>
    <definedName name="GG97_" localSheetId="1">'[5]Prog-2011'!#REF!</definedName>
    <definedName name="GG97_" localSheetId="14">'[5]Prog-2011'!#REF!</definedName>
    <definedName name="GG97_" localSheetId="8">'[5]Prog-2011'!#REF!</definedName>
    <definedName name="GG97_">'[5]Prog-2011'!#REF!</definedName>
    <definedName name="GGANUAL" localSheetId="1">'[5]Prog-2011'!#REF!</definedName>
    <definedName name="GGANUAL" localSheetId="8">'[5]Prog-2011'!#REF!</definedName>
    <definedName name="GGANUAL">'[5]Prog-2011'!#REF!</definedName>
    <definedName name="GGANUALPIB" localSheetId="1">'[5]Prog-2011'!#REF!</definedName>
    <definedName name="GGANUALPIB" localSheetId="8">'[5]Prog-2011'!#REF!</definedName>
    <definedName name="GGANUALPIB">'[5]Prog-2011'!#REF!</definedName>
    <definedName name="GGB" localSheetId="1">#REF!</definedName>
    <definedName name="GGB" localSheetId="14">#REF!</definedName>
    <definedName name="GGB" localSheetId="8">#REF!</definedName>
    <definedName name="GGB">#REF!</definedName>
    <definedName name="GGB_NGDP">#N/A</definedName>
    <definedName name="GGEC" localSheetId="1">#REF!</definedName>
    <definedName name="GGEC" localSheetId="14">#REF!</definedName>
    <definedName name="GGEC" localSheetId="8">#REF!</definedName>
    <definedName name="GGEC">#REF!</definedName>
    <definedName name="GGED" localSheetId="1">#REF!</definedName>
    <definedName name="GGED" localSheetId="14">#REF!</definedName>
    <definedName name="GGED" localSheetId="8">#REF!</definedName>
    <definedName name="GGED">#REF!</definedName>
    <definedName name="GGEI" localSheetId="1">#REF!</definedName>
    <definedName name="GGEI" localSheetId="14">#REF!</definedName>
    <definedName name="GGEI" localSheetId="8">#REF!</definedName>
    <definedName name="GGEI">#REF!</definedName>
    <definedName name="GGENL" localSheetId="1">#REF!</definedName>
    <definedName name="GGENL" localSheetId="8">#REF!</definedName>
    <definedName name="GGENL">#REF!</definedName>
    <definedName name="ggg" localSheetId="14" hidden="1">{"Riqfin97",#N/A,FALSE,"Tran";"Riqfinpro",#N/A,FALSE,"Tran"}</definedName>
    <definedName name="ggg" hidden="1">{"Riqfin97",#N/A,FALSE,"Tran";"Riqfinpro",#N/A,FALSE,"Tran"}</definedName>
    <definedName name="ggg.thj" localSheetId="14"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ggg.t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gggg" localSheetId="14" hidden="1">{"bop94-99",#N/A,FALSE,"BOP";"bgdp94-99",#N/A,FALSE,"BOPGDP";"exp94-99",#N/A,FALSE,"EXP";"imp94-99",#N/A,FALSE,"IMP";"tt9499",#N/A,FALSE,"TT";"ss94-99",#N/A,FALSE,"SERV";"tran94-99",#N/A,FALSE,"TRAN";"dis95-98",#N/A,FALSE,"DISB";"amor94-99",#N/A,FALSE,"AMOR";"int94-98",#N/A,FALSE,"INT";"debt94-99",#N/A,FALSE,"DEBT"}</definedName>
    <definedName name="gggg" hidden="1">{"bop94-99",#N/A,FALSE,"BOP";"bgdp94-99",#N/A,FALSE,"BOPGDP";"exp94-99",#N/A,FALSE,"EXP";"imp94-99",#N/A,FALSE,"IMP";"tt9499",#N/A,FALSE,"TT";"ss94-99",#N/A,FALSE,"SERV";"tran94-99",#N/A,FALSE,"TRAN";"dis95-98",#N/A,FALSE,"DISB";"amor94-99",#N/A,FALSE,"AMOR";"int94-98",#N/A,FALSE,"INT";"debt94-99",#N/A,FALSE,"DEBT"}</definedName>
    <definedName name="ggggg" localSheetId="1" hidden="1">'[82]J(Priv.Cap)'!#REF!</definedName>
    <definedName name="ggggg" localSheetId="8" hidden="1">'[82]J(Priv.Cap)'!#REF!</definedName>
    <definedName name="ggggg" hidden="1">'[82]J(Priv.Cap)'!#REF!</definedName>
    <definedName name="ggggggg" localSheetId="1">#REF!</definedName>
    <definedName name="ggggggg" localSheetId="14">#REF!</definedName>
    <definedName name="ggggggg" localSheetId="8">#REF!</definedName>
    <definedName name="ggggggg">#REF!</definedName>
    <definedName name="GGLP">'[7]EGLP PL'!$V$51:$AJ$143</definedName>
    <definedName name="GGND" localSheetId="1">#REF!</definedName>
    <definedName name="GGND" localSheetId="14">#REF!</definedName>
    <definedName name="GGND" localSheetId="8">#REF!</definedName>
    <definedName name="GGND">#REF!</definedName>
    <definedName name="GGRG" localSheetId="1">#REF!</definedName>
    <definedName name="GGRG" localSheetId="14">#REF!</definedName>
    <definedName name="GGRG" localSheetId="8">#REF!</definedName>
    <definedName name="GGRG">#REF!</definedName>
    <definedName name="ghhjhhhhh" localSheetId="1">'[36]Ejecución 2004'!#REF!</definedName>
    <definedName name="ghhjhhhhh" localSheetId="14">'[36]Ejecución 2004'!#REF!</definedName>
    <definedName name="ghhjhhhhh" localSheetId="8">'[36]Ejecución 2004'!#REF!</definedName>
    <definedName name="ghhjhhhhh">'[36]Ejecución 2004'!#REF!</definedName>
    <definedName name="ght" localSheetId="14" hidden="1">{"Tab1",#N/A,FALSE,"P";"Tab2",#N/A,FALSE,"P"}</definedName>
    <definedName name="ght" hidden="1">{"Tab1",#N/A,FALSE,"P";"Tab2",#N/A,FALSE,"P"}</definedName>
    <definedName name="GHYHYJJLP" localSheetId="1">'[36]Ejecución 2004'!#REF!</definedName>
    <definedName name="GHYHYJJLP" localSheetId="8">'[36]Ejecución 2004'!#REF!</definedName>
    <definedName name="GHYHYJJLP">'[36]Ejecución 2004'!#REF!</definedName>
    <definedName name="giuih" localSheetId="14" hidden="1">{"macroa",#N/A,FALSE,"Macro";"suma2",#N/A,FALSE,"Data";"suma3",#N/A,FALSE,"Data";"suma4",#N/A,FALSE,"Data";"suma5",#N/A,FALSE,"Data";"suma6",#N/A,FALSE,"Data";"suma7",#N/A,FALSE,"Data";"suma8",#N/A,FALSE,"Data";"suma9",#N/A,FALSE,"Data"}</definedName>
    <definedName name="giuih" hidden="1">{"macroa",#N/A,FALSE,"Macro";"suma2",#N/A,FALSE,"Data";"suma3",#N/A,FALSE,"Data";"suma4",#N/A,FALSE,"Data";"suma5",#N/A,FALSE,"Data";"suma6",#N/A,FALSE,"Data";"suma7",#N/A,FALSE,"Data";"suma8",#N/A,FALSE,"Data";"suma9",#N/A,FALSE,"Data"}</definedName>
    <definedName name="GOESC96" localSheetId="1">#REF!</definedName>
    <definedName name="GOESC96" localSheetId="14">#REF!</definedName>
    <definedName name="GOESC96" localSheetId="8">#REF!</definedName>
    <definedName name="GOESC96">#REF!</definedName>
    <definedName name="Grace_IDA">'[83]Servicio Deuda Nueva'!$B$22</definedName>
    <definedName name="Grace_NC" localSheetId="1">#REF!</definedName>
    <definedName name="Grace_NC" localSheetId="14">#REF!</definedName>
    <definedName name="Grace_NC" localSheetId="8">#REF!</definedName>
    <definedName name="Grace_NC">#REF!</definedName>
    <definedName name="Graf_pens_anual" localSheetId="1" hidden="1">'[68]Eje 2004'!#REF!</definedName>
    <definedName name="Graf_pens_anual" localSheetId="14" hidden="1">'[68]Eje 2004'!#REF!</definedName>
    <definedName name="Graf_pens_anual" localSheetId="8" hidden="1">'[68]Eje 2004'!#REF!</definedName>
    <definedName name="Graf_pens_anual" hidden="1">'[68]Eje 2004'!#REF!</definedName>
    <definedName name="Gravamen_Aduanero" localSheetId="1">#REF!</definedName>
    <definedName name="Gravamen_Aduanero" localSheetId="14">#REF!</definedName>
    <definedName name="Gravamen_Aduanero" localSheetId="8">#REF!</definedName>
    <definedName name="Gravamen_Aduanero">#REF!</definedName>
    <definedName name="gre" localSheetId="14" hidden="1">{"Riqfin97",#N/A,FALSE,"Tran";"Riqfinpro",#N/A,FALSE,"Tran"}</definedName>
    <definedName name="gre" hidden="1">{"Riqfin97",#N/A,FALSE,"Tran";"Riqfinpro",#N/A,FALSE,"Tran"}</definedName>
    <definedName name="gy" localSheetId="14" hidden="1">{"macro",#N/A,FALSE,"Macro";"smq2",#N/A,FALSE,"Data";"smq3",#N/A,FALSE,"Data";"smq4",#N/A,FALSE,"Data";"smq5",#N/A,FALSE,"Data";"smq6",#N/A,FALSE,"Data";"smq7",#N/A,FALSE,"Data";"smq8",#N/A,FALSE,"Data";"smq9",#N/A,FALSE,"Data"}</definedName>
    <definedName name="gy" hidden="1">{"macro",#N/A,FALSE,"Macro";"smq2",#N/A,FALSE,"Data";"smq3",#N/A,FALSE,"Data";"smq4",#N/A,FALSE,"Data";"smq5",#N/A,FALSE,"Data";"smq6",#N/A,FALSE,"Data";"smq7",#N/A,FALSE,"Data";"smq8",#N/A,FALSE,"Data";"smq9",#N/A,FALSE,"Data"}</definedName>
    <definedName name="gyu" localSheetId="14" hidden="1">{"Tab1",#N/A,FALSE,"P";"Tab2",#N/A,FALSE,"P"}</definedName>
    <definedName name="gyu" hidden="1">{"Tab1",#N/A,FALSE,"P";"Tab2",#N/A,FALSE,"P"}</definedName>
    <definedName name="h" localSheetId="1">#REF!</definedName>
    <definedName name="h" localSheetId="14">#REF!</definedName>
    <definedName name="h" localSheetId="8">#REF!</definedName>
    <definedName name="h">#REF!</definedName>
    <definedName name="HDHDJCDHCBSD" localSheetId="1">'[36]Ejecución 2004'!#REF!</definedName>
    <definedName name="HDHDJCDHCBSD" localSheetId="14">'[36]Ejecución 2004'!#REF!</definedName>
    <definedName name="HDHDJCDHCBSD" localSheetId="8">'[36]Ejecución 2004'!#REF!</definedName>
    <definedName name="HDHDJCDHCBSD">'[36]Ejecución 2004'!#REF!</definedName>
    <definedName name="Header_Row" localSheetId="1">ROW(#REF!)</definedName>
    <definedName name="Header_Row" localSheetId="8">ROW(#REF!)</definedName>
    <definedName name="Header_Row">ROW(#REF!)</definedName>
    <definedName name="Heading39" localSheetId="1">#REF!</definedName>
    <definedName name="Heading39" localSheetId="8">#REF!</definedName>
    <definedName name="Heading39">#REF!</definedName>
    <definedName name="hello" localSheetId="14" hidden="1">{#N/A,#N/A,FALSE,"CB";#N/A,#N/A,FALSE,"CMB";#N/A,#N/A,FALSE,"BSYS";#N/A,#N/A,FALSE,"NBFI";#N/A,#N/A,FALSE,"FSYS"}</definedName>
    <definedName name="hello" hidden="1">{#N/A,#N/A,FALSE,"CB";#N/A,#N/A,FALSE,"CMB";#N/A,#N/A,FALSE,"BSYS";#N/A,#N/A,FALSE,"NBFI";#N/A,#N/A,FALSE,"FSYS"}</definedName>
    <definedName name="hghj" localSheetId="14"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hg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HH" localSheetId="1">#REF!</definedName>
    <definedName name="HH" localSheetId="14">#REF!</definedName>
    <definedName name="HH" localSheetId="8">#REF!</definedName>
    <definedName name="HH">#REF!</definedName>
    <definedName name="hhh" localSheetId="14" hidden="1">{"Minpmon",#N/A,FALSE,"Monthinput"}</definedName>
    <definedName name="hhh" hidden="1">{"Minpmon",#N/A,FALSE,"Monthinput"}</definedName>
    <definedName name="hhhh">#N/A</definedName>
    <definedName name="hhhhh" localSheetId="14" hidden="1">{"Tab1",#N/A,FALSE,"P";"Tab2",#N/A,FALSE,"P"}</definedName>
    <definedName name="hhhhh" hidden="1">{"Tab1",#N/A,FALSE,"P";"Tab2",#N/A,FALSE,"P"}</definedName>
    <definedName name="hhhhhh" localSheetId="14" hidden="1">{"bop94-99",#N/A,FALSE,"BOP";"bgdp94-99",#N/A,FALSE,"BOPGDP";"exp94-99",#N/A,FALSE,"EXP";"imp94-99",#N/A,FALSE,"IMP";"tt9499",#N/A,FALSE,"TT";"ss94-99",#N/A,FALSE,"SERV";"tran94-99",#N/A,FALSE,"TRAN";"dis95-98",#N/A,FALSE,"DISB";"amor94-99",#N/A,FALSE,"AMOR";"int94-98",#N/A,FALSE,"INT";"debt94-99",#N/A,FALSE,"DEBT"}</definedName>
    <definedName name="hhhhhh" hidden="1">{"bop94-99",#N/A,FALSE,"BOP";"bgdp94-99",#N/A,FALSE,"BOPGDP";"exp94-99",#N/A,FALSE,"EXP";"imp94-99",#N/A,FALSE,"IMP";"tt9499",#N/A,FALSE,"TT";"ss94-99",#N/A,FALSE,"SERV";"tran94-99",#N/A,FALSE,"TRAN";"dis95-98",#N/A,FALSE,"DISB";"amor94-99",#N/A,FALSE,"AMOR";"int94-98",#N/A,FALSE,"INT";"debt94-99",#N/A,FALSE,"DEBT"}</definedName>
    <definedName name="HHHHHHH" localSheetId="1">#REF!</definedName>
    <definedName name="HHHHHHH" localSheetId="14">#REF!</definedName>
    <definedName name="HHHHHHH" localSheetId="8">#REF!</definedName>
    <definedName name="HHHHHHH">#REF!</definedName>
    <definedName name="HHHHHHHHH" localSheetId="1">#REF!</definedName>
    <definedName name="HHHHHHHHH" localSheetId="14">#REF!</definedName>
    <definedName name="HHHHHHHHH" localSheetId="8">#REF!</definedName>
    <definedName name="HHHHHHHHH">#REF!</definedName>
    <definedName name="HIDRO1" localSheetId="1">#REF!</definedName>
    <definedName name="HIDRO1" localSheetId="14">#REF!</definedName>
    <definedName name="HIDRO1" localSheetId="8">#REF!</definedName>
    <definedName name="HIDRO1">#REF!</definedName>
    <definedName name="High_external" localSheetId="1">#REF!</definedName>
    <definedName name="High_external" localSheetId="8">#REF!</definedName>
    <definedName name="High_external">#REF!</definedName>
    <definedName name="High_fiscal" localSheetId="1">#REF!</definedName>
    <definedName name="High_fiscal" localSheetId="8">#REF!</definedName>
    <definedName name="High_fiscal">#REF!</definedName>
    <definedName name="High_growth_extended" localSheetId="1">#REF!</definedName>
    <definedName name="High_growth_extended" localSheetId="8">#REF!</definedName>
    <definedName name="High_growth_extended">#REF!</definedName>
    <definedName name="High_growth_summary" localSheetId="1">#REF!</definedName>
    <definedName name="High_growth_summary" localSheetId="8">#REF!</definedName>
    <definedName name="High_growth_summary">#REF!</definedName>
    <definedName name="High_monetary" localSheetId="1">#REF!</definedName>
    <definedName name="High_monetary" localSheetId="8">#REF!</definedName>
    <definedName name="High_monetary">#REF!</definedName>
    <definedName name="High_real" localSheetId="1">#REF!</definedName>
    <definedName name="High_real" localSheetId="8">#REF!</definedName>
    <definedName name="High_real">#REF!</definedName>
    <definedName name="High_summary" localSheetId="1">#REF!</definedName>
    <definedName name="High_summary" localSheetId="8">#REF!</definedName>
    <definedName name="High_summary">#REF!</definedName>
    <definedName name="hio" localSheetId="14" hidden="1">{"Tab1",#N/A,FALSE,"P";"Tab2",#N/A,FALSE,"P"}</definedName>
    <definedName name="hio" hidden="1">{"Tab1",#N/A,FALSE,"P";"Tab2",#N/A,FALSE,"P"}</definedName>
    <definedName name="HIPCDATA" localSheetId="1">#REF!</definedName>
    <definedName name="HIPCDATA" localSheetId="14">#REF!</definedName>
    <definedName name="HIPCDATA" localSheetId="8">#REF!</definedName>
    <definedName name="HIPCDATA">#REF!</definedName>
    <definedName name="HOJA12" localSheetId="1">'[45]PAG-28'!#REF!</definedName>
    <definedName name="HOJA12" localSheetId="14">'[45]PAG-28'!#REF!</definedName>
    <definedName name="HOJA12" localSheetId="8">'[45]PAG-28'!#REF!</definedName>
    <definedName name="HOJA12">'[45]PAG-28'!#REF!</definedName>
    <definedName name="HOJA13" localSheetId="1">'[45]PAG-28'!#REF!</definedName>
    <definedName name="HOJA13" localSheetId="14">'[45]PAG-28'!#REF!</definedName>
    <definedName name="HOJA13" localSheetId="8">'[45]PAG-28'!#REF!</definedName>
    <definedName name="HOJA13">'[45]PAG-28'!#REF!</definedName>
    <definedName name="HOJA17" localSheetId="1">'[45]PAG-28'!#REF!</definedName>
    <definedName name="HOJA17" localSheetId="8">'[45]PAG-28'!#REF!</definedName>
    <definedName name="HOJA17">'[45]PAG-28'!#REF!</definedName>
    <definedName name="HOJA19">'[3]PAG-28'!$HF$26</definedName>
    <definedName name="HOJA2" localSheetId="1">'[45]PAG-28'!#REF!</definedName>
    <definedName name="HOJA2" localSheetId="14">'[45]PAG-28'!#REF!</definedName>
    <definedName name="HOJA2" localSheetId="8">'[45]PAG-28'!#REF!</definedName>
    <definedName name="HOJA2">'[45]PAG-28'!#REF!</definedName>
    <definedName name="HOJA24A">'[3]PAG-28'!$AF$25</definedName>
    <definedName name="HOJA7" localSheetId="1">'[45]PAG-28'!#REF!</definedName>
    <definedName name="HOJA7" localSheetId="14">'[45]PAG-28'!#REF!</definedName>
    <definedName name="HOJA7" localSheetId="8">'[45]PAG-28'!#REF!</definedName>
    <definedName name="HOJA7">'[45]PAG-28'!#REF!</definedName>
    <definedName name="hora" localSheetId="1">[22]Programa!#REF!</definedName>
    <definedName name="hora" localSheetId="14">[22]Programa!#REF!</definedName>
    <definedName name="hora" localSheetId="8">[22]Programa!#REF!</definedName>
    <definedName name="hora">[22]Programa!#REF!</definedName>
    <definedName name="HOSP96" localSheetId="1">#REF!</definedName>
    <definedName name="HOSP96" localSheetId="14">#REF!</definedName>
    <definedName name="HOSP96" localSheetId="8">#REF!</definedName>
    <definedName name="HOSP96">#REF!</definedName>
    <definedName name="hpu" localSheetId="14" hidden="1">{"Tab1",#N/A,FALSE,"P";"Tab2",#N/A,FALSE,"P"}</definedName>
    <definedName name="hpu" hidden="1">{"Tab1",#N/A,FALSE,"P";"Tab2",#N/A,FALSE,"P"}</definedName>
    <definedName name="HTML_CodePage" hidden="1">1254</definedName>
    <definedName name="HTML_Control" localSheetId="14" hidden="1">{"'Sheet1'!$A$1:$Q$33"}</definedName>
    <definedName name="HTML_Control" hidden="1">{"'Sheet1'!$A$1:$Q$33"}</definedName>
    <definedName name="HTML_Description" hidden="1">""</definedName>
    <definedName name="HTML_Email" hidden="1">"vayvadae@pm.treasury.gov.tr"</definedName>
    <definedName name="HTML_Header" hidden="1">""</definedName>
    <definedName name="HTML_LastUpdate" hidden="1">"29.04.99"</definedName>
    <definedName name="HTML_LineAfter" hidden="1">FALSE</definedName>
    <definedName name="HTML_LineBefore" hidden="1">FALSE</definedName>
    <definedName name="HTML_Name" hidden="1">"Eylem Vayvada"</definedName>
    <definedName name="HTML_OBDlg2" hidden="1">TRUE</definedName>
    <definedName name="HTML_OBDlg4" hidden="1">TRUE</definedName>
    <definedName name="HTML_OS" hidden="1">0</definedName>
    <definedName name="HTML_PathFile" hidden="1">"L:\icborc\EYLEM\yeniduzen\ekleme\ti13.htm"</definedName>
    <definedName name="HTML_Title" hidden="1">"ICBORCLANMANIN VADE YAPISI"</definedName>
    <definedName name="hui" localSheetId="14" hidden="1">{"Tab1",#N/A,FALSE,"P";"Tab2",#N/A,FALSE,"P"}</definedName>
    <definedName name="hui" hidden="1">{"Tab1",#N/A,FALSE,"P";"Tab2",#N/A,FALSE,"P"}</definedName>
    <definedName name="huo" localSheetId="14" hidden="1">{"Tab1",#N/A,FALSE,"P";"Tab2",#N/A,FALSE,"P"}</definedName>
    <definedName name="huo" hidden="1">{"Tab1",#N/A,FALSE,"P";"Tab2",#N/A,FALSE,"P"}</definedName>
    <definedName name="I" localSheetId="1">#REF!</definedName>
    <definedName name="I" localSheetId="14">#REF!</definedName>
    <definedName name="I" localSheetId="8">#REF!</definedName>
    <definedName name="I">#REF!</definedName>
    <definedName name="Ibrd" localSheetId="1">[41]Terms!#REF!</definedName>
    <definedName name="Ibrd" localSheetId="14">[41]Terms!#REF!</definedName>
    <definedName name="Ibrd" localSheetId="8">[41]Terms!#REF!</definedName>
    <definedName name="Ibrd">[41]Terms!#REF!</definedName>
    <definedName name="IDA" localSheetId="1">[41]Terms!#REF!</definedName>
    <definedName name="IDA" localSheetId="14">[41]Terms!#REF!</definedName>
    <definedName name="IDA" localSheetId="8">[41]Terms!#REF!</definedName>
    <definedName name="IDA">[41]Terms!#REF!</definedName>
    <definedName name="iehd">[84]IEHD!$C$3:$D$1703</definedName>
    <definedName name="IEHD__YPFB_Refinación_S.A." localSheetId="1">#REF!</definedName>
    <definedName name="IEHD__YPFB_Refinación_S.A." localSheetId="14">#REF!</definedName>
    <definedName name="IEHD__YPFB_Refinación_S.A." localSheetId="8">#REF!</definedName>
    <definedName name="IEHD__YPFB_Refinación_S.A.">#REF!</definedName>
    <definedName name="IESS" localSheetId="1">#REF!</definedName>
    <definedName name="IESS" localSheetId="14">#REF!</definedName>
    <definedName name="IESS" localSheetId="8">#REF!</definedName>
    <definedName name="IESS">#REF!</definedName>
    <definedName name="Ifad" localSheetId="1">[41]Terms!#REF!</definedName>
    <definedName name="Ifad" localSheetId="14">[41]Terms!#REF!</definedName>
    <definedName name="Ifad" localSheetId="8">[41]Terms!#REF!</definedName>
    <definedName name="Ifad">[41]Terms!#REF!</definedName>
    <definedName name="ii" localSheetId="14" hidden="1">{"Tab1",#N/A,FALSE,"P";"Tab2",#N/A,FALSE,"P"}</definedName>
    <definedName name="ii" hidden="1">{"Tab1",#N/A,FALSE,"P";"Tab2",#N/A,FALSE,"P"}</definedName>
    <definedName name="iii" localSheetId="14" hidden="1">{"Riqfin97",#N/A,FALSE,"Tran";"Riqfinpro",#N/A,FALSE,"Tran"}</definedName>
    <definedName name="iii" hidden="1">{"Riqfin97",#N/A,FALSE,"Tran";"Riqfinpro",#N/A,FALSE,"Tran"}</definedName>
    <definedName name="ijh" localSheetId="14" hidden="1">{"mt1",#N/A,FALSE,"Debt";"mt2",#N/A,FALSE,"Debt";"mt3",#N/A,FALSE,"Debt";"mt4",#N/A,FALSE,"Debt";"mt5",#N/A,FALSE,"Debt";"mt6",#N/A,FALSE,"Debt";"mt7",#N/A,FALSE,"Debt"}</definedName>
    <definedName name="ijh" hidden="1">{"mt1",#N/A,FALSE,"Debt";"mt2",#N/A,FALSE,"Debt";"mt3",#N/A,FALSE,"Debt";"mt4",#N/A,FALSE,"Debt";"mt5",#N/A,FALSE,"Debt";"mt6",#N/A,FALSE,"Debt";"mt7",#N/A,FALSE,"Debt"}</definedName>
    <definedName name="ilo" localSheetId="14" hidden="1">{"Riqfin97",#N/A,FALSE,"Tran";"Riqfinpro",#N/A,FALSE,"Tran"}</definedName>
    <definedName name="ilo" hidden="1">{"Riqfin97",#N/A,FALSE,"Tran";"Riqfinpro",#N/A,FALSE,"Tran"}</definedName>
    <definedName name="ilu" localSheetId="14" hidden="1">{"Riqfin97",#N/A,FALSE,"Tran";"Riqfinpro",#N/A,FALSE,"Tran"}</definedName>
    <definedName name="ilu" hidden="1">{"Riqfin97",#N/A,FALSE,"Tran";"Riqfinpro",#N/A,FALSE,"Tran"}</definedName>
    <definedName name="ima" localSheetId="1">#REF!</definedName>
    <definedName name="ima" localSheetId="14">#REF!</definedName>
    <definedName name="ima" localSheetId="8">#REF!</definedName>
    <definedName name="ima">#REF!</definedName>
    <definedName name="imaor" localSheetId="1">#REF!</definedName>
    <definedName name="imaor" localSheetId="14">#REF!</definedName>
    <definedName name="imaor" localSheetId="8">#REF!</definedName>
    <definedName name="imaor">#REF!</definedName>
    <definedName name="Imprimir_área_IM" localSheetId="1">#REF!</definedName>
    <definedName name="Imprimir_área_IM" localSheetId="14">#REF!</definedName>
    <definedName name="Imprimir_área_IM" localSheetId="8">#REF!</definedName>
    <definedName name="Imprimir_área_IM">#REF!</definedName>
    <definedName name="Imprimir_títulos_IM" localSheetId="1">#REF!,#REF!</definedName>
    <definedName name="Imprimir_títulos_IM" localSheetId="14">#REF!,#REF!</definedName>
    <definedName name="Imprimir_títulos_IM" localSheetId="8">#REF!,#REF!</definedName>
    <definedName name="Imprimir_títulos_IM">#REF!,#REF!</definedName>
    <definedName name="IN2_" localSheetId="1">[31]Assumptions!#REF!</definedName>
    <definedName name="IN2_" localSheetId="14">[31]Assumptions!#REF!</definedName>
    <definedName name="IN2_" localSheetId="8">[31]Assumptions!#REF!</definedName>
    <definedName name="IN2_">[31]Assumptions!#REF!</definedName>
    <definedName name="IN3_" localSheetId="1">[31]Assumptions!#REF!</definedName>
    <definedName name="IN3_" localSheetId="8">[31]Assumptions!#REF!</definedName>
    <definedName name="IN3_">[31]Assumptions!#REF!</definedName>
    <definedName name="ind" localSheetId="1">#REF!</definedName>
    <definedName name="ind" localSheetId="14">#REF!</definedName>
    <definedName name="ind" localSheetId="8">#REF!</definedName>
    <definedName name="ind">#REF!</definedName>
    <definedName name="INDICE" localSheetId="1">[22]Programa!#REF!</definedName>
    <definedName name="INDICE" localSheetId="8">[22]Programa!#REF!</definedName>
    <definedName name="INDICE">[22]Programa!#REF!</definedName>
    <definedName name="INE" localSheetId="1">#REF!</definedName>
    <definedName name="INE" localSheetId="14">#REF!</definedName>
    <definedName name="INE" localSheetId="8">#REF!</definedName>
    <definedName name="INE">#REF!</definedName>
    <definedName name="INECEL" localSheetId="1">#REF!</definedName>
    <definedName name="INECEL" localSheetId="14">#REF!</definedName>
    <definedName name="INECEL" localSheetId="8">#REF!</definedName>
    <definedName name="INECEL">#REF!</definedName>
    <definedName name="INF">[62]SUPUESTOS!A$21</definedName>
    <definedName name="INFISC1" localSheetId="1">#REF!</definedName>
    <definedName name="INFISC1" localSheetId="14">#REF!</definedName>
    <definedName name="INFISC1" localSheetId="8">#REF!</definedName>
    <definedName name="INFISC1">#REF!</definedName>
    <definedName name="INFISC2" localSheetId="1">#REF!</definedName>
    <definedName name="INFISC2" localSheetId="14">#REF!</definedName>
    <definedName name="INFISC2" localSheetId="8">#REF!</definedName>
    <definedName name="INFISC2">#REF!</definedName>
    <definedName name="Inflation" localSheetId="1">#REF!</definedName>
    <definedName name="Inflation" localSheetId="14">#REF!</definedName>
    <definedName name="Inflation" localSheetId="8">#REF!</definedName>
    <definedName name="Inflation">#REF!</definedName>
    <definedName name="INGOES96" localSheetId="1">#REF!</definedName>
    <definedName name="INGOES96" localSheetId="8">#REF!</definedName>
    <definedName name="INGOES96">#REF!</definedName>
    <definedName name="Inicio" localSheetId="1">#REF!</definedName>
    <definedName name="Inicio" localSheetId="8">#REF!</definedName>
    <definedName name="Inicio">#REF!</definedName>
    <definedName name="inicioCampos" localSheetId="1">#REF!</definedName>
    <definedName name="inicioCampos" localSheetId="8">#REF!</definedName>
    <definedName name="inicioCampos">#REF!</definedName>
    <definedName name="inicioCromasEntregado" localSheetId="1">#REF!</definedName>
    <definedName name="inicioCromasEntregado" localSheetId="8">#REF!</definedName>
    <definedName name="inicioCromasEntregado">#REF!</definedName>
    <definedName name="inicioCromasGLP" localSheetId="1">#REF!</definedName>
    <definedName name="inicioCromasGLP" localSheetId="8">#REF!</definedName>
    <definedName name="inicioCromasGLP">#REF!</definedName>
    <definedName name="inicioCromasProducido" localSheetId="1">#REF!</definedName>
    <definedName name="inicioCromasProducido" localSheetId="8">#REF!</definedName>
    <definedName name="inicioCromasProducido">#REF!</definedName>
    <definedName name="inicioExistentes" localSheetId="1">#REF!</definedName>
    <definedName name="inicioExistentes" localSheetId="8">#REF!</definedName>
    <definedName name="inicioExistentes">#REF!</definedName>
    <definedName name="inicioNuevos" localSheetId="1">#REF!</definedName>
    <definedName name="inicioNuevos" localSheetId="8">#REF!</definedName>
    <definedName name="inicioNuevos">#REF!</definedName>
    <definedName name="INMN" localSheetId="1">#REF!</definedName>
    <definedName name="INMN" localSheetId="8">#REF!</definedName>
    <definedName name="INMN">#REF!</definedName>
    <definedName name="INPROJ" localSheetId="1">#REF!</definedName>
    <definedName name="INPROJ" localSheetId="8">#REF!</definedName>
    <definedName name="INPROJ">#REF!</definedName>
    <definedName name="INPUT_2" localSheetId="1">[32]Input!#REF!</definedName>
    <definedName name="INPUT_2" localSheetId="14">[32]Input!#REF!</definedName>
    <definedName name="INPUT_2" localSheetId="8">[32]Input!#REF!</definedName>
    <definedName name="INPUT_2">[32]Input!#REF!</definedName>
    <definedName name="INPUT_4" localSheetId="1">[32]Input!#REF!</definedName>
    <definedName name="INPUT_4" localSheetId="14">[32]Input!#REF!</definedName>
    <definedName name="INPUT_4" localSheetId="8">[32]Input!#REF!</definedName>
    <definedName name="INPUT_4">[32]Input!#REF!</definedName>
    <definedName name="Int" localSheetId="1">#REF!</definedName>
    <definedName name="Int" localSheetId="14">#REF!</definedName>
    <definedName name="Int" localSheetId="8">#REF!</definedName>
    <definedName name="Int">#REF!</definedName>
    <definedName name="Interest_IDA">'[72]Servicio Deuda Nueva'!$B$24</definedName>
    <definedName name="Interest_NC" localSheetId="1">#REF!</definedName>
    <definedName name="Interest_NC" localSheetId="14">#REF!</definedName>
    <definedName name="Interest_NC" localSheetId="8">#REF!</definedName>
    <definedName name="Interest_NC">#REF!</definedName>
    <definedName name="Interest_Rate" localSheetId="1">#REF!</definedName>
    <definedName name="Interest_Rate" localSheetId="14">#REF!</definedName>
    <definedName name="Interest_Rate" localSheetId="8">#REF!</definedName>
    <definedName name="Interest_Rate">#REF!</definedName>
    <definedName name="InterestRate" localSheetId="1">#REF!</definedName>
    <definedName name="InterestRate" localSheetId="14">#REF!</definedName>
    <definedName name="InterestRate" localSheetId="8">#REF!</definedName>
    <definedName name="InterestRate">#REF!</definedName>
    <definedName name="ipc" localSheetId="1">#REF!</definedName>
    <definedName name="ipc" localSheetId="8">#REF!</definedName>
    <definedName name="ipc">#REF!</definedName>
    <definedName name="ipc98j" localSheetId="1">[22]Programa!#REF!</definedName>
    <definedName name="ipc98j" localSheetId="8">[22]Programa!#REF!</definedName>
    <definedName name="ipc98j">[22]Programa!#REF!</definedName>
    <definedName name="ipc98s" localSheetId="1">#REF!</definedName>
    <definedName name="ipc98s" localSheetId="14">#REF!</definedName>
    <definedName name="ipc98s" localSheetId="8">#REF!</definedName>
    <definedName name="ipc98s">#REF!</definedName>
    <definedName name="ISSS96" localSheetId="1">#REF!</definedName>
    <definedName name="ISSS96" localSheetId="14">#REF!</definedName>
    <definedName name="ISSS96" localSheetId="8">#REF!</definedName>
    <definedName name="ISSS96">#REF!</definedName>
    <definedName name="ISTA96" localSheetId="1">#REF!</definedName>
    <definedName name="ISTA96" localSheetId="14">#REF!</definedName>
    <definedName name="ISTA96" localSheetId="8">#REF!</definedName>
    <definedName name="ISTA96">#REF!</definedName>
    <definedName name="IVA_importaciones" localSheetId="1">#REF!</definedName>
    <definedName name="IVA_importaciones" localSheetId="8">#REF!</definedName>
    <definedName name="IVA_importaciones">#REF!</definedName>
    <definedName name="ivh" localSheetId="14" hidden="1">{"macroa",#N/A,FALSE,"Macro";"suma2",#N/A,FALSE,"Data";"suma3",#N/A,FALSE,"Data";"suma4",#N/A,FALSE,"Data";"suma5",#N/A,FALSE,"Data";"suma6",#N/A,FALSE,"Data";"suma7",#N/A,FALSE,"Data";"suma8",#N/A,FALSE,"Data";"suma9",#N/A,FALSE,"Data"}</definedName>
    <definedName name="ivh" hidden="1">{"macroa",#N/A,FALSE,"Macro";"suma2",#N/A,FALSE,"Data";"suma3",#N/A,FALSE,"Data";"suma4",#N/A,FALSE,"Data";"suma5",#N/A,FALSE,"Data";"suma6",#N/A,FALSE,"Data";"suma7",#N/A,FALSE,"Data";"suma8",#N/A,FALSE,"Data";"suma9",#N/A,FALSE,"Data"}</definedName>
    <definedName name="J" localSheetId="1" hidden="1">[37]Retroactivos!#REF!</definedName>
    <definedName name="J" localSheetId="8" hidden="1">[37]Retroactivos!#REF!</definedName>
    <definedName name="J" hidden="1">[37]Retroactivos!#REF!</definedName>
    <definedName name="jan" localSheetId="14" hidden="1">{#N/A,#N/A,FALSE,"CB";#N/A,#N/A,FALSE,"CMB";#N/A,#N/A,FALSE,"NBFI"}</definedName>
    <definedName name="jan" hidden="1">{#N/A,#N/A,FALSE,"CB";#N/A,#N/A,FALSE,"CMB";#N/A,#N/A,FALSE,"NBFI"}</definedName>
    <definedName name="jdjjdjd" localSheetId="1">#REF!</definedName>
    <definedName name="jdjjdjd" localSheetId="14">#REF!</definedName>
    <definedName name="jdjjdjd" localSheetId="8">#REF!</definedName>
    <definedName name="jdjjdjd">#REF!</definedName>
    <definedName name="jhgjhhgj" localSheetId="1">#REF!</definedName>
    <definedName name="jhgjhhgj" localSheetId="14">#REF!</definedName>
    <definedName name="jhgjhhgj" localSheetId="8">#REF!</definedName>
    <definedName name="jhgjhhgj">#REF!</definedName>
    <definedName name="jj" localSheetId="1" hidden="1">[37]Retroactivos!#REF!</definedName>
    <definedName name="jj" localSheetId="14" hidden="1">[37]Retroactivos!#REF!</definedName>
    <definedName name="jj" localSheetId="8" hidden="1">[37]Retroactivos!#REF!</definedName>
    <definedName name="jj" hidden="1">[37]Retroactivos!#REF!</definedName>
    <definedName name="jjhgj" localSheetId="1">#REF!</definedName>
    <definedName name="jjhgj" localSheetId="14">#REF!</definedName>
    <definedName name="jjhgj" localSheetId="8">#REF!</definedName>
    <definedName name="jjhgj">#REF!</definedName>
    <definedName name="jjj" localSheetId="14" hidden="1">{"Riqfin97",#N/A,FALSE,"Tran";"Riqfinpro",#N/A,FALSE,"Tran"}</definedName>
    <definedName name="jjj" hidden="1">{"Riqfin97",#N/A,FALSE,"Tran";"Riqfinpro",#N/A,FALSE,"Tran"}</definedName>
    <definedName name="jjjj" localSheetId="14" hidden="1">{"Tab1",#N/A,FALSE,"P";"Tab2",#N/A,FALSE,"P"}</definedName>
    <definedName name="jjjj" hidden="1">{"Tab1",#N/A,FALSE,"P";"Tab2",#N/A,FALSE,"P"}</definedName>
    <definedName name="jjjjj" localSheetId="1">'[38]PAPE-98'!#REF!</definedName>
    <definedName name="jjjjj" localSheetId="8">'[38]PAPE-98'!#REF!</definedName>
    <definedName name="jjjjj">'[38]PAPE-98'!#REF!</definedName>
    <definedName name="jjjjjj" localSheetId="1">'[38]PAPE-98'!#REF!</definedName>
    <definedName name="jjjjjj" localSheetId="8">'[38]PAPE-98'!#REF!</definedName>
    <definedName name="jjjjjj">'[38]PAPE-98'!#REF!</definedName>
    <definedName name="jjjjjjjjjjjjjjjjjj" localSheetId="14" hidden="1">{"Tab1",#N/A,FALSE,"P";"Tab2",#N/A,FALSE,"P"}</definedName>
    <definedName name="jjjjjjjjjjjjjjjjjj" hidden="1">{"Tab1",#N/A,FALSE,"P";"Tab2",#N/A,FALSE,"P"}</definedName>
    <definedName name="jkhkhjk" localSheetId="1">#REF!</definedName>
    <definedName name="jkhkhjk" localSheetId="14">#REF!</definedName>
    <definedName name="jkhkhjk" localSheetId="8">#REF!</definedName>
    <definedName name="jkhkhjk">#REF!</definedName>
    <definedName name="jkhkjhk" localSheetId="1">#REF!</definedName>
    <definedName name="jkhkjhk" localSheetId="14">#REF!</definedName>
    <definedName name="jkhkjhk" localSheetId="8">#REF!</definedName>
    <definedName name="jkhkjhk">#REF!</definedName>
    <definedName name="JUB_2" localSheetId="1">#REF!</definedName>
    <definedName name="JUB_2" localSheetId="14">#REF!</definedName>
    <definedName name="JUB_2" localSheetId="8">#REF!</definedName>
    <definedName name="JUB_2">#REF!</definedName>
    <definedName name="jub_2dev" localSheetId="1">#REF!</definedName>
    <definedName name="jub_2dev" localSheetId="8">#REF!</definedName>
    <definedName name="jub_2dev">#REF!</definedName>
    <definedName name="Jub_Est" localSheetId="1">#REF!</definedName>
    <definedName name="Jub_Est" localSheetId="8">#REF!</definedName>
    <definedName name="Jub_Est">#REF!</definedName>
    <definedName name="Jub_Est_201010" localSheetId="1">#REF!</definedName>
    <definedName name="Jub_Est_201010" localSheetId="8">#REF!</definedName>
    <definedName name="Jub_Est_201010">#REF!</definedName>
    <definedName name="Jub_Est_201011" localSheetId="1">#REF!</definedName>
    <definedName name="Jub_Est_201011" localSheetId="8">#REF!</definedName>
    <definedName name="Jub_Est_201011">#REF!</definedName>
    <definedName name="Jub_Est_201103" localSheetId="1">#REF!</definedName>
    <definedName name="Jub_Est_201103" localSheetId="8">#REF!</definedName>
    <definedName name="Jub_Est_201103">#REF!</definedName>
    <definedName name="Jub_Est_201108" localSheetId="1">#REF!</definedName>
    <definedName name="Jub_Est_201108" localSheetId="8">#REF!</definedName>
    <definedName name="Jub_Est_201108">#REF!</definedName>
    <definedName name="Jub_Est_201109" localSheetId="1">#REF!</definedName>
    <definedName name="Jub_Est_201109" localSheetId="8">#REF!</definedName>
    <definedName name="Jub_Est_201109">#REF!</definedName>
    <definedName name="jui" localSheetId="14" hidden="1">{"Riqfin97",#N/A,FALSE,"Tran";"Riqfinpro",#N/A,FALSE,"Tran"}</definedName>
    <definedName name="jui" hidden="1">{"Riqfin97",#N/A,FALSE,"Tran";"Riqfinpro",#N/A,FALSE,"Tran"}</definedName>
    <definedName name="junk" localSheetId="1" hidden="1">#REF!</definedName>
    <definedName name="junk" localSheetId="14" hidden="1">#REF!</definedName>
    <definedName name="junk" localSheetId="8" hidden="1">#REF!</definedName>
    <definedName name="junk" hidden="1">#REF!</definedName>
    <definedName name="junk1" localSheetId="1" hidden="1">#REF!</definedName>
    <definedName name="junk1" localSheetId="14" hidden="1">#REF!</definedName>
    <definedName name="junk1" localSheetId="8" hidden="1">#REF!</definedName>
    <definedName name="junk1" hidden="1">#REF!</definedName>
    <definedName name="junk2" localSheetId="1" hidden="1">#REF!</definedName>
    <definedName name="junk2" localSheetId="14" hidden="1">#REF!</definedName>
    <definedName name="junk2" localSheetId="8" hidden="1">#REF!</definedName>
    <definedName name="junk2" hidden="1">#REF!</definedName>
    <definedName name="junk3" localSheetId="1" hidden="1">#REF!</definedName>
    <definedName name="junk3" localSheetId="8" hidden="1">#REF!</definedName>
    <definedName name="junk3" hidden="1">#REF!</definedName>
    <definedName name="juy" localSheetId="14" hidden="1">{"Tab1",#N/A,FALSE,"P";"Tab2",#N/A,FALSE,"P"}</definedName>
    <definedName name="juy" hidden="1">{"Tab1",#N/A,FALSE,"P";"Tab2",#N/A,FALSE,"P"}</definedName>
    <definedName name="K" localSheetId="1" hidden="1">'[68]Eje 2004'!#REF!</definedName>
    <definedName name="K" localSheetId="8" hidden="1">'[68]Eje 2004'!#REF!</definedName>
    <definedName name="K" hidden="1">'[68]Eje 2004'!#REF!</definedName>
    <definedName name="kio" localSheetId="14" hidden="1">{"Tab1",#N/A,FALSE,"P";"Tab2",#N/A,FALSE,"P"}</definedName>
    <definedName name="kio" hidden="1">{"Tab1",#N/A,FALSE,"P";"Tab2",#N/A,FALSE,"P"}</definedName>
    <definedName name="kiu" localSheetId="14" hidden="1">{"Riqfin97",#N/A,FALSE,"Tran";"Riqfinpro",#N/A,FALSE,"Tran"}</definedName>
    <definedName name="kiu" hidden="1">{"Riqfin97",#N/A,FALSE,"Tran";"Riqfinpro",#N/A,FALSE,"Tran"}</definedName>
    <definedName name="kjljljk" localSheetId="1">#REF!</definedName>
    <definedName name="kjljljk" localSheetId="14">#REF!</definedName>
    <definedName name="kjljljk" localSheetId="8">#REF!</definedName>
    <definedName name="kjljljk">#REF!</definedName>
    <definedName name="kjlkjkl" localSheetId="1">#REF!</definedName>
    <definedName name="kjlkjkl" localSheetId="14">#REF!</definedName>
    <definedName name="kjlkjkl" localSheetId="8">#REF!</definedName>
    <definedName name="kjlkjkl">#REF!</definedName>
    <definedName name="kk" localSheetId="1" hidden="1">[37]Retroactivos!#REF!</definedName>
    <definedName name="kk" localSheetId="14" hidden="1">[37]Retroactivos!#REF!</definedName>
    <definedName name="kk" localSheetId="8" hidden="1">[37]Retroactivos!#REF!</definedName>
    <definedName name="kk" hidden="1">[37]Retroactivos!#REF!</definedName>
    <definedName name="kkk" localSheetId="14" hidden="1">{#N/A,#N/A,FALSE,"CONTENTS";#N/A,#N/A,FALSE,"BOP";#N/A,#N/A,FALSE,"EXP";#N/A,#N/A,FALSE,"EXPG";#N/A,#N/A,FALSE,"EXPP";#N/A,#N/A,FALSE,"IMP";#N/A,#N/A,FALSE,"TOT";#N/A,#N/A,FALSE,"SERV";#N/A,#N/A,FALSE,"TRAN";#N/A,#N/A,FALSE,"DEBT"}</definedName>
    <definedName name="kkk" hidden="1">{#N/A,#N/A,FALSE,"CONTENTS";#N/A,#N/A,FALSE,"BOP";#N/A,#N/A,FALSE,"EXP";#N/A,#N/A,FALSE,"EXPG";#N/A,#N/A,FALSE,"EXPP";#N/A,#N/A,FALSE,"IMP";#N/A,#N/A,FALSE,"TOT";#N/A,#N/A,FALSE,"SERV";#N/A,#N/A,FALSE,"TRAN";#N/A,#N/A,FALSE,"DEBT"}</definedName>
    <definedName name="kkkk">#N/A</definedName>
    <definedName name="kkkkk" localSheetId="1" hidden="1">'[85]J(Priv.Cap)'!#REF!</definedName>
    <definedName name="kkkkk" localSheetId="8" hidden="1">'[85]J(Priv.Cap)'!#REF!</definedName>
    <definedName name="kkkkk" hidden="1">'[85]J(Priv.Cap)'!#REF!</definedName>
    <definedName name="KKKKKK" localSheetId="1">#REF!</definedName>
    <definedName name="KKKKKK" localSheetId="14">#REF!</definedName>
    <definedName name="KKKKKK" localSheetId="8">#REF!</definedName>
    <definedName name="KKKKKK">#REF!</definedName>
    <definedName name="kkkkkkkk" localSheetId="14" hidden="1">{"Riqfin97",#N/A,FALSE,"Tran";"Riqfinpro",#N/A,FALSE,"Tran"}</definedName>
    <definedName name="kkkkkkkk" hidden="1">{"Riqfin97",#N/A,FALSE,"Tran";"Riqfinpro",#N/A,FALSE,"Tran"}</definedName>
    <definedName name="kklkjlj" localSheetId="1" hidden="1">#REF!</definedName>
    <definedName name="kklkjlj" localSheetId="14" hidden="1">#REF!</definedName>
    <definedName name="kklkjlj" localSheetId="8" hidden="1">#REF!</definedName>
    <definedName name="kklkjlj" hidden="1">#REF!</definedName>
    <definedName name="kl" localSheetId="14" hidden="1">{"mt1",#N/A,FALSE,"Debt";"mt2",#N/A,FALSE,"Debt";"mt3",#N/A,FALSE,"Debt";"mt4",#N/A,FALSE,"Debt";"mt5",#N/A,FALSE,"Debt";"mt6",#N/A,FALSE,"Debt";"mt7",#N/A,FALSE,"Debt"}</definedName>
    <definedName name="kl" hidden="1">{"mt1",#N/A,FALSE,"Debt";"mt2",#N/A,FALSE,"Debt";"mt3",#N/A,FALSE,"Debt";"mt4",#N/A,FALSE,"Debt";"mt5",#N/A,FALSE,"Debt";"mt6",#N/A,FALSE,"Debt";"mt7",#N/A,FALSE,"Debt"}</definedName>
    <definedName name="ku" localSheetId="14" hidden="1">{"macro",#N/A,FALSE,"Macro";"smq2",#N/A,FALSE,"Data";"smq3",#N/A,FALSE,"Data";"smq4",#N/A,FALSE,"Data";"smq5",#N/A,FALSE,"Data";"smq6",#N/A,FALSE,"Data";"smq7",#N/A,FALSE,"Data";"smq8",#N/A,FALSE,"Data";"smq9",#N/A,FALSE,"Data"}</definedName>
    <definedName name="ku" hidden="1">{"macro",#N/A,FALSE,"Macro";"smq2",#N/A,FALSE,"Data";"smq3",#N/A,FALSE,"Data";"smq4",#N/A,FALSE,"Data";"smq5",#N/A,FALSE,"Data";"smq6",#N/A,FALSE,"Data";"smq7",#N/A,FALSE,"Data";"smq8",#N/A,FALSE,"Data";"smq9",#N/A,FALSE,"Data"}</definedName>
    <definedName name="lala" localSheetId="1" hidden="1">[86]Retroactivos!#REF!</definedName>
    <definedName name="lala" localSheetId="8" hidden="1">[86]Retroactivos!#REF!</definedName>
    <definedName name="lala" hidden="1">[86]Retroactivos!#REF!</definedName>
    <definedName name="last_ro">#N/A</definedName>
    <definedName name="Last_Row">#N/A</definedName>
    <definedName name="lcs" localSheetId="1">#REF!</definedName>
    <definedName name="lcs" localSheetId="14">#REF!</definedName>
    <definedName name="lcs" localSheetId="8">#REF!</definedName>
    <definedName name="lcs">#REF!</definedName>
    <definedName name="LIBOR3">[62]SUPUESTOS!$A$12:$IV$12</definedName>
    <definedName name="LIBOR6">[62]SUPUESTOS!A$11</definedName>
    <definedName name="liqc" localSheetId="1">[22]Programa!#REF!</definedName>
    <definedName name="liqc" localSheetId="14">[22]Programa!#REF!</definedName>
    <definedName name="liqc" localSheetId="8">[22]Programa!#REF!</definedName>
    <definedName name="liqc">[22]Programa!#REF!</definedName>
    <definedName name="liqd" localSheetId="1">[22]Programa!#REF!</definedName>
    <definedName name="liqd" localSheetId="14">[22]Programa!#REF!</definedName>
    <definedName name="liqd" localSheetId="8">[22]Programa!#REF!</definedName>
    <definedName name="liqd">[22]Programa!#REF!</definedName>
    <definedName name="LL" localSheetId="1">#REF!</definedName>
    <definedName name="LL" localSheetId="14">#REF!</definedName>
    <definedName name="LL" localSheetId="8">#REF!</definedName>
    <definedName name="LL">#REF!</definedName>
    <definedName name="lll" localSheetId="14" hidden="1">{"Minpmon",#N/A,FALSE,"Monthinput"}</definedName>
    <definedName name="lll" hidden="1">{"Minpmon",#N/A,FALSE,"Monthinput"}</definedName>
    <definedName name="llll" localSheetId="14" hidden="1">{"Minpmon",#N/A,FALSE,"Monthinput"}</definedName>
    <definedName name="llll" hidden="1">{"Minpmon",#N/A,FALSE,"Monthinput"}</definedName>
    <definedName name="lllll" localSheetId="14" hidden="1">{"Tab1",#N/A,FALSE,"P";"Tab2",#N/A,FALSE,"P"}</definedName>
    <definedName name="lllll" hidden="1">{"Tab1",#N/A,FALSE,"P";"Tab2",#N/A,FALSE,"P"}</definedName>
    <definedName name="LLLLLL">#N/A</definedName>
    <definedName name="lllllll" localSheetId="14" hidden="1">{"bop94-99",#N/A,FALSE,"BOP";"bgdp94-99",#N/A,FALSE,"BOPGDP";"exp94-99",#N/A,FALSE,"EXP";"imp94-99",#N/A,FALSE,"IMP";"tt9499",#N/A,FALSE,"TT";"ss94-99",#N/A,FALSE,"SERV";"tran94-99",#N/A,FALSE,"TRAN";"dis95-98",#N/A,FALSE,"DISB";"amor94-99",#N/A,FALSE,"AMOR";"int94-98",#N/A,FALSE,"INT";"debt94-99",#N/A,FALSE,"DEBT"}</definedName>
    <definedName name="lllllll" hidden="1">{"bop94-99",#N/A,FALSE,"BOP";"bgdp94-99",#N/A,FALSE,"BOPGDP";"exp94-99",#N/A,FALSE,"EXP";"imp94-99",#N/A,FALSE,"IMP";"tt9499",#N/A,FALSE,"TT";"ss94-99",#N/A,FALSE,"SERV";"tran94-99",#N/A,FALSE,"TRAN";"dis95-98",#N/A,FALSE,"DISB";"amor94-99",#N/A,FALSE,"AMOR";"int94-98",#N/A,FALSE,"INT";"debt94-99",#N/A,FALSE,"DEBT"}</definedName>
    <definedName name="lllllllllllllllll" localSheetId="14" hidden="1">{"Minpmon",#N/A,FALSE,"Monthinput"}</definedName>
    <definedName name="lllllllllllllllll" hidden="1">{"Minpmon",#N/A,FALSE,"Monthinput"}</definedName>
    <definedName name="lñkñkñl" localSheetId="1">'[20]PAPE-98'!#REF!</definedName>
    <definedName name="lñkñkñl" localSheetId="8">'[20]PAPE-98'!#REF!</definedName>
    <definedName name="lñkñkñl">'[20]PAPE-98'!#REF!</definedName>
    <definedName name="Loan_Amount" localSheetId="1">#REF!</definedName>
    <definedName name="Loan_Amount" localSheetId="14">#REF!</definedName>
    <definedName name="Loan_Amount" localSheetId="8">#REF!</definedName>
    <definedName name="Loan_Amount">#REF!</definedName>
    <definedName name="Loan_Start" localSheetId="1">#REF!</definedName>
    <definedName name="Loan_Start" localSheetId="14">#REF!</definedName>
    <definedName name="Loan_Start" localSheetId="8">#REF!</definedName>
    <definedName name="Loan_Start">#REF!</definedName>
    <definedName name="Loan_Years" localSheetId="1">#REF!</definedName>
    <definedName name="Loan_Years" localSheetId="14">#REF!</definedName>
    <definedName name="Loan_Years" localSheetId="8">#REF!</definedName>
    <definedName name="Loan_Years">#REF!</definedName>
    <definedName name="LONAB96" localSheetId="1">#REF!</definedName>
    <definedName name="LONAB96" localSheetId="8">#REF!</definedName>
    <definedName name="LONAB96">#REF!</definedName>
    <definedName name="Low_external" localSheetId="1">#REF!</definedName>
    <definedName name="Low_external" localSheetId="8">#REF!</definedName>
    <definedName name="Low_external">#REF!</definedName>
    <definedName name="Low_fiscal" localSheetId="1">#REF!</definedName>
    <definedName name="Low_fiscal" localSheetId="8">#REF!</definedName>
    <definedName name="Low_fiscal">#REF!</definedName>
    <definedName name="Low_growth_extended" localSheetId="1">#REF!</definedName>
    <definedName name="Low_growth_extended" localSheetId="8">#REF!</definedName>
    <definedName name="Low_growth_extended">#REF!</definedName>
    <definedName name="Low_growth_summary" localSheetId="1">#REF!</definedName>
    <definedName name="Low_growth_summary" localSheetId="8">#REF!</definedName>
    <definedName name="Low_growth_summary">#REF!</definedName>
    <definedName name="Low_monetary" localSheetId="1">#REF!</definedName>
    <definedName name="Low_monetary" localSheetId="8">#REF!</definedName>
    <definedName name="Low_monetary">#REF!</definedName>
    <definedName name="Low_real" localSheetId="1">#REF!</definedName>
    <definedName name="Low_real" localSheetId="8">#REF!</definedName>
    <definedName name="Low_real">#REF!</definedName>
    <definedName name="Low_summary" localSheetId="1">#REF!</definedName>
    <definedName name="Low_summary" localSheetId="8">#REF!</definedName>
    <definedName name="Low_summary">#REF!</definedName>
    <definedName name="LPZ" localSheetId="1">#REF!</definedName>
    <definedName name="LPZ" localSheetId="8">#REF!</definedName>
    <definedName name="LPZ">#REF!</definedName>
    <definedName name="lucho" localSheetId="1">#REF!</definedName>
    <definedName name="lucho" localSheetId="8">#REF!</definedName>
    <definedName name="lucho">#REF!</definedName>
    <definedName name="LUGAR" localSheetId="1">'[5]Prog-2011'!#REF!</definedName>
    <definedName name="LUGAR" localSheetId="8">'[5]Prog-2011'!#REF!</definedName>
    <definedName name="LUGAR">'[5]Prog-2011'!#REF!</definedName>
    <definedName name="LUR">#N/A</definedName>
    <definedName name="m">#N/A</definedName>
    <definedName name="MA" localSheetId="1">#REF!</definedName>
    <definedName name="MA" localSheetId="14">#REF!</definedName>
    <definedName name="MA" localSheetId="8">#REF!</definedName>
    <definedName name="MA">#REF!</definedName>
    <definedName name="MACRO" localSheetId="1">#REF!</definedName>
    <definedName name="MACRO" localSheetId="14">#REF!</definedName>
    <definedName name="MACRO" localSheetId="8">#REF!</definedName>
    <definedName name="MACRO">#REF!</definedName>
    <definedName name="Macro1" localSheetId="1">#REF!</definedName>
    <definedName name="Macro1" localSheetId="14">#REF!</definedName>
    <definedName name="Macro1" localSheetId="8">#REF!</definedName>
    <definedName name="Macro1">#REF!</definedName>
    <definedName name="Macro2" localSheetId="1">#REF!</definedName>
    <definedName name="Macro2" localSheetId="8">#REF!</definedName>
    <definedName name="Macro2">#REF!</definedName>
    <definedName name="Macro3" localSheetId="1">#REF!</definedName>
    <definedName name="Macro3" localSheetId="8">#REF!</definedName>
    <definedName name="Macro3">#REF!</definedName>
    <definedName name="Macro4" localSheetId="1">#REF!</definedName>
    <definedName name="Macro4" localSheetId="8">#REF!</definedName>
    <definedName name="Macro4">#REF!</definedName>
    <definedName name="Macro5" localSheetId="1">#REF!</definedName>
    <definedName name="Macro5" localSheetId="8">#REF!</definedName>
    <definedName name="Macro5">#REF!</definedName>
    <definedName name="MACROINPUT" localSheetId="1">#REF!</definedName>
    <definedName name="MACROINPUT" localSheetId="8">#REF!</definedName>
    <definedName name="MACROINPUT">#REF!</definedName>
    <definedName name="MACROS" localSheetId="1">'[5]Prog-2011'!#REF!</definedName>
    <definedName name="MACROS" localSheetId="8">'[5]Prog-2011'!#REF!</definedName>
    <definedName name="MACROS">'[5]Prog-2011'!#REF!</definedName>
    <definedName name="Malaysia" localSheetId="1">#REF!</definedName>
    <definedName name="Malaysia" localSheetId="14">#REF!</definedName>
    <definedName name="Malaysia" localSheetId="8">#REF!</definedName>
    <definedName name="Malaysia">#REF!</definedName>
    <definedName name="mar" localSheetId="1">[22]Programa!#REF!</definedName>
    <definedName name="mar" localSheetId="8">[22]Programa!#REF!</definedName>
    <definedName name="mar">[22]Programa!#REF!</definedName>
    <definedName name="Market_Summary">'[57]What-if'!$U$56:$AL$80</definedName>
    <definedName name="MasterVentas" localSheetId="1">#REF!</definedName>
    <definedName name="MasterVentas" localSheetId="14">#REF!</definedName>
    <definedName name="MasterVentas" localSheetId="8">#REF!</definedName>
    <definedName name="MasterVentas">#REF!</definedName>
    <definedName name="Maturity_IDA">'[83]Servicio Deuda Nueva'!$B$23</definedName>
    <definedName name="Maturity_NC" localSheetId="1">#REF!</definedName>
    <definedName name="Maturity_NC" localSheetId="14">#REF!</definedName>
    <definedName name="Maturity_NC" localSheetId="8">#REF!</definedName>
    <definedName name="Maturity_NC">#REF!</definedName>
    <definedName name="Mau" localSheetId="1">'[50]Ejecución 2004'!#REF!</definedName>
    <definedName name="Mau" localSheetId="14">'[50]Ejecución 2004'!#REF!</definedName>
    <definedName name="Mau" localSheetId="8">'[50]Ejecución 2004'!#REF!</definedName>
    <definedName name="Mau">'[50]Ejecución 2004'!#REF!</definedName>
    <definedName name="may" localSheetId="1">[22]Programa!#REF!</definedName>
    <definedName name="may" localSheetId="14">[22]Programa!#REF!</definedName>
    <definedName name="may" localSheetId="8">[22]Programa!#REF!</definedName>
    <definedName name="may">[22]Programa!#REF!</definedName>
    <definedName name="MCPI" localSheetId="1">#REF!</definedName>
    <definedName name="MCPI" localSheetId="14">#REF!</definedName>
    <definedName name="MCPI" localSheetId="8">#REF!</definedName>
    <definedName name="MCPI">#REF!</definedName>
    <definedName name="MCV">#N/A</definedName>
    <definedName name="MCV_B">[49]Q6!$E$157:$AH$157</definedName>
    <definedName name="MCV_D">#N/A</definedName>
    <definedName name="MCV_N">#N/A</definedName>
    <definedName name="MCV_T">#N/A</definedName>
    <definedName name="MEJOR" localSheetId="1">#REF!</definedName>
    <definedName name="MEJOR" localSheetId="14">#REF!</definedName>
    <definedName name="MEJOR" localSheetId="8">#REF!</definedName>
    <definedName name="MEJOR">#REF!</definedName>
    <definedName name="MENORES" localSheetId="1">#REF!</definedName>
    <definedName name="MENORES" localSheetId="14">#REF!</definedName>
    <definedName name="MENORES" localSheetId="8">#REF!</definedName>
    <definedName name="MENORES">#REF!</definedName>
    <definedName name="MENU" localSheetId="1">#REF!</definedName>
    <definedName name="MENU" localSheetId="14">#REF!</definedName>
    <definedName name="MENU" localSheetId="8">#REF!</definedName>
    <definedName name="MENU">#REF!</definedName>
    <definedName name="MENU1">'[3]PAG-28'!$CD$2:$CG$5</definedName>
    <definedName name="MENU1A">'[3]PAG-28'!$CD$3</definedName>
    <definedName name="MENU2">'[3]PAG-28'!$CD$16</definedName>
    <definedName name="MENU3">'[3]PAG-28'!$CD$21</definedName>
    <definedName name="MENU5" localSheetId="1">'[45]PAG-28'!#REF!</definedName>
    <definedName name="MENU5" localSheetId="14">'[45]PAG-28'!#REF!</definedName>
    <definedName name="MENU5" localSheetId="8">'[45]PAG-28'!#REF!</definedName>
    <definedName name="MENU5">'[45]PAG-28'!#REF!</definedName>
    <definedName name="MENU6">'[3]PAG-28'!$CD$98</definedName>
    <definedName name="MENUHO10">'[3]PAG-28'!$CD$55</definedName>
    <definedName name="MENUHO12">'[3]PAG-28'!$CD$157</definedName>
    <definedName name="MENUHO12A">'[3]PAG-28'!$CD$162</definedName>
    <definedName name="MENUHO12B">'[3]PAG-28'!$CD$168</definedName>
    <definedName name="MENUHO14">'[3]PAG-28'!$CD$73</definedName>
    <definedName name="MENUHO17">'[3]PAG-28'!$CD$81</definedName>
    <definedName name="MENUHO19">'[3]PAG-28'!$CD$90</definedName>
    <definedName name="MENUHO2" localSheetId="1">'[45]PAG-28'!#REF!</definedName>
    <definedName name="MENUHO2" localSheetId="14">'[45]PAG-28'!#REF!</definedName>
    <definedName name="MENUHO2" localSheetId="8">'[45]PAG-28'!#REF!</definedName>
    <definedName name="MENUHO2">'[45]PAG-28'!#REF!</definedName>
    <definedName name="MENUHO21">'[3]PAG-28'!$CD$133</definedName>
    <definedName name="MENUHO22">'[3]PAG-28'!$CD$141</definedName>
    <definedName name="MENUHO7">'[3]PAG-28'!$CD$64</definedName>
    <definedName name="MENUHO9">'[3]PAG-28'!$CD$149</definedName>
    <definedName name="Mercantil" localSheetId="1">[47]listas!#REF!</definedName>
    <definedName name="Mercantil" localSheetId="14">[47]listas!#REF!</definedName>
    <definedName name="Mercantil" localSheetId="8">[47]listas!#REF!</definedName>
    <definedName name="Mercantil">[47]listas!#REF!</definedName>
    <definedName name="MES">'[87]2003'!$A$3:$IV$3</definedName>
    <definedName name="MFISCAL" localSheetId="1">'[30]Annual Raw Data'!#REF!</definedName>
    <definedName name="MFISCAL" localSheetId="14">'[30]Annual Raw Data'!#REF!</definedName>
    <definedName name="MFISCAL" localSheetId="8">'[30]Annual Raw Data'!#REF!</definedName>
    <definedName name="MFISCAL">'[30]Annual Raw Data'!#REF!</definedName>
    <definedName name="mflowsa" localSheetId="1">[44]!mflowsa</definedName>
    <definedName name="mflowsa" localSheetId="14">[44]!mflowsa</definedName>
    <definedName name="mflowsa" localSheetId="8">[44]!mflowsa</definedName>
    <definedName name="mflowsa">[44]!mflowsa</definedName>
    <definedName name="mflowsq" localSheetId="1">[44]!mflowsq</definedName>
    <definedName name="mflowsq" localSheetId="14">[44]!mflowsq</definedName>
    <definedName name="mflowsq" localSheetId="8">[44]!mflowsq</definedName>
    <definedName name="mflowsq">[44]!mflowsq</definedName>
    <definedName name="MICRO" localSheetId="1">#REF!</definedName>
    <definedName name="MICRO" localSheetId="14">#REF!</definedName>
    <definedName name="MICRO" localSheetId="8">#REF!</definedName>
    <definedName name="MICRO">#REF!</definedName>
    <definedName name="MIDDLE" localSheetId="1">#REF!</definedName>
    <definedName name="MIDDLE" localSheetId="14">#REF!</definedName>
    <definedName name="MIDDLE" localSheetId="8">#REF!</definedName>
    <definedName name="MIDDLE">#REF!</definedName>
    <definedName name="miles">1000</definedName>
    <definedName name="MISC3" localSheetId="1">#REF!</definedName>
    <definedName name="MISC3" localSheetId="14">#REF!</definedName>
    <definedName name="MISC3" localSheetId="8">#REF!</definedName>
    <definedName name="MISC3">#REF!</definedName>
    <definedName name="MISC4" localSheetId="1">[32]OUTPUT!#REF!</definedName>
    <definedName name="MISC4" localSheetId="14">[32]OUTPUT!#REF!</definedName>
    <definedName name="MISC4" localSheetId="8">[32]OUTPUT!#REF!</definedName>
    <definedName name="MISC4">[32]OUTPUT!#REF!</definedName>
    <definedName name="ml" localSheetId="14" hidden="1">{"macro",#N/A,FALSE,"Macro";"smq2",#N/A,FALSE,"Data";"smq3",#N/A,FALSE,"Data";"smq4",#N/A,FALSE,"Data";"smq5",#N/A,FALSE,"Data";"smq6",#N/A,FALSE,"Data";"smq7",#N/A,FALSE,"Data";"smq8",#N/A,FALSE,"Data";"smq9",#N/A,FALSE,"Data"}</definedName>
    <definedName name="ml" hidden="1">{"macro",#N/A,FALSE,"Macro";"smq2",#N/A,FALSE,"Data";"smq3",#N/A,FALSE,"Data";"smq4",#N/A,FALSE,"Data";"smq5",#N/A,FALSE,"Data";"smq6",#N/A,FALSE,"Data";"smq7",#N/A,FALSE,"Data";"smq8",#N/A,FALSE,"Data";"smq9",#N/A,FALSE,"Data"}</definedName>
    <definedName name="mmamananajdjdkvlvgpgoperiuwns" localSheetId="1">#REF!</definedName>
    <definedName name="mmamananajdjdkvlvgpgoperiuwns" localSheetId="14">#REF!</definedName>
    <definedName name="mmamananajdjdkvlvgpgoperiuwns" localSheetId="8">#REF!</definedName>
    <definedName name="mmamananajdjdkvlvgpgoperiuwns">#REF!</definedName>
    <definedName name="mmm" localSheetId="14" hidden="1">{"Riqfin97",#N/A,FALSE,"Tran";"Riqfinpro",#N/A,FALSE,"Tran"}</definedName>
    <definedName name="mmm" hidden="1">{"Riqfin97",#N/A,FALSE,"Tran";"Riqfinpro",#N/A,FALSE,"Tran"}</definedName>
    <definedName name="mmmm" localSheetId="14" hidden="1">{"Tab1",#N/A,FALSE,"P";"Tab2",#N/A,FALSE,"P"}</definedName>
    <definedName name="mmmm" hidden="1">{"Tab1",#N/A,FALSE,"P";"Tab2",#N/A,FALSE,"P"}</definedName>
    <definedName name="mmmmm" localSheetId="14" hidden="1">{"Riqfin97",#N/A,FALSE,"Tran";"Riqfinpro",#N/A,FALSE,"Tran"}</definedName>
    <definedName name="mmmmm" hidden="1">{"Riqfin97",#N/A,FALSE,"Tran";"Riqfinpro",#N/A,FALSE,"Tran"}</definedName>
    <definedName name="mmmmmmmmm" localSheetId="14" hidden="1">{"Riqfin97",#N/A,FALSE,"Tran";"Riqfinpro",#N/A,FALSE,"Tran"}</definedName>
    <definedName name="mmmmmmmmm" hidden="1">{"Riqfin97",#N/A,FALSE,"Tran";"Riqfinpro",#N/A,FALSE,"Tran"}</definedName>
    <definedName name="MNDATES" localSheetId="1">#REF!</definedName>
    <definedName name="MNDATES" localSheetId="14">#REF!</definedName>
    <definedName name="MNDATES" localSheetId="8">#REF!</definedName>
    <definedName name="MNDATES">#REF!</definedName>
    <definedName name="MOHO">"="</definedName>
    <definedName name="MON_SM" localSheetId="1">#REF!</definedName>
    <definedName name="MON_SM" localSheetId="14">#REF!</definedName>
    <definedName name="MON_SM" localSheetId="8">#REF!</definedName>
    <definedName name="MON_SM">#REF!</definedName>
    <definedName name="Monetary_Program" localSheetId="1">#REF!</definedName>
    <definedName name="Monetary_Program" localSheetId="14">#REF!</definedName>
    <definedName name="Monetary_Program" localSheetId="8">#REF!</definedName>
    <definedName name="Monetary_Program">#REF!</definedName>
    <definedName name="Monetary_Survey" localSheetId="1">#REF!</definedName>
    <definedName name="Monetary_Survey" localSheetId="14">#REF!</definedName>
    <definedName name="Monetary_Survey" localSheetId="8">#REF!</definedName>
    <definedName name="Monetary_Survey">#REF!</definedName>
    <definedName name="Monetary_Survey_Analytical_Tables" localSheetId="1">#REF!</definedName>
    <definedName name="Monetary_Survey_Analytical_Tables" localSheetId="8">#REF!</definedName>
    <definedName name="Monetary_Survey_Analytical_Tables">#REF!</definedName>
    <definedName name="Monetary_Survey_growth_rates" localSheetId="1">#REF!</definedName>
    <definedName name="Monetary_Survey_growth_rates" localSheetId="8">#REF!</definedName>
    <definedName name="Monetary_Survey_growth_rates">#REF!</definedName>
    <definedName name="MONF_SM" localSheetId="1">#REF!</definedName>
    <definedName name="MONF_SM" localSheetId="8">#REF!</definedName>
    <definedName name="MONF_SM">#REF!</definedName>
    <definedName name="Monthly_CG_projection" localSheetId="1">#REF!</definedName>
    <definedName name="Monthly_CG_projection" localSheetId="8">#REF!</definedName>
    <definedName name="Monthly_CG_projection">#REF!</definedName>
    <definedName name="MonthlyInf" localSheetId="1">#REF!</definedName>
    <definedName name="MonthlyInf" localSheetId="8">#REF!</definedName>
    <definedName name="MonthlyInf">#REF!</definedName>
    <definedName name="MONY" localSheetId="1">#REF!</definedName>
    <definedName name="MONY" localSheetId="8">#REF!</definedName>
    <definedName name="MONY">#REF!</definedName>
    <definedName name="MS_TXGM_DPCH" localSheetId="1">[69]Micro!#REF!</definedName>
    <definedName name="MS_TXGM_DPCH" localSheetId="8">[69]Micro!#REF!</definedName>
    <definedName name="MS_TXGM_DPCH">[69]Micro!#REF!</definedName>
    <definedName name="mstocksa" localSheetId="1">[44]!mstocksa</definedName>
    <definedName name="mstocksa" localSheetId="14">[44]!mstocksa</definedName>
    <definedName name="mstocksa" localSheetId="8">[44]!mstocksa</definedName>
    <definedName name="mstocksa">[44]!mstocksa</definedName>
    <definedName name="mstocksq" localSheetId="1">[44]!mstocksq</definedName>
    <definedName name="mstocksq" localSheetId="14">[44]!mstocksq</definedName>
    <definedName name="mstocksq" localSheetId="8">[44]!mstocksq</definedName>
    <definedName name="mstocksq">[44]!mstocksq</definedName>
    <definedName name="mte" localSheetId="14" hidden="1">{"Riqfin97",#N/A,FALSE,"Tran";"Riqfinpro",#N/A,FALSE,"Tran"}</definedName>
    <definedName name="mte" hidden="1">{"Riqfin97",#N/A,FALSE,"Tran";"Riqfinpro",#N/A,FALSE,"Tran"}</definedName>
    <definedName name="Mun_Credito_externo" localSheetId="1">[88]GobGen!#REF!</definedName>
    <definedName name="Mun_Credito_externo" localSheetId="8">[88]GobGen!#REF!</definedName>
    <definedName name="Mun_Credito_externo">[88]GobGen!#REF!</definedName>
    <definedName name="Mun_Credito_Interno" localSheetId="1">[88]GobGen!#REF!</definedName>
    <definedName name="Mun_Credito_Interno" localSheetId="8">[88]GobGen!#REF!</definedName>
    <definedName name="Mun_Credito_Interno">[88]GobGen!#REF!</definedName>
    <definedName name="Mun_Superavit" localSheetId="1">[88]GobGen!#REF!</definedName>
    <definedName name="Mun_Superavit" localSheetId="8">[88]GobGen!#REF!</definedName>
    <definedName name="Mun_Superavit">[88]GobGen!#REF!</definedName>
    <definedName name="MUNI96" localSheetId="1">#REF!</definedName>
    <definedName name="MUNI96" localSheetId="14">#REF!</definedName>
    <definedName name="MUNI96" localSheetId="8">#REF!</definedName>
    <definedName name="MUNI96">#REF!</definedName>
    <definedName name="Municipios" localSheetId="1">#REF!</definedName>
    <definedName name="Municipios" localSheetId="14">#REF!</definedName>
    <definedName name="Municipios" localSheetId="8">#REF!</definedName>
    <definedName name="Municipios">#REF!</definedName>
    <definedName name="n" localSheetId="14" hidden="1">{"Minpmon",#N/A,FALSE,"Monthinput"}</definedName>
    <definedName name="n" hidden="1">{"Minpmon",#N/A,FALSE,"Monthinput"}</definedName>
    <definedName name="NAMES" localSheetId="1">#REF!</definedName>
    <definedName name="NAMES" localSheetId="14">#REF!</definedName>
    <definedName name="NAMES" localSheetId="8">#REF!</definedName>
    <definedName name="NAMES">#REF!</definedName>
    <definedName name="NAMES_A" localSheetId="1">#REF!</definedName>
    <definedName name="NAMES_A" localSheetId="14">#REF!</definedName>
    <definedName name="NAMES_A" localSheetId="8">#REF!</definedName>
    <definedName name="NAMES_A">#REF!</definedName>
    <definedName name="Names_Annual" localSheetId="1">#REF!</definedName>
    <definedName name="Names_Annual" localSheetId="14">#REF!</definedName>
    <definedName name="Names_Annual" localSheetId="8">#REF!</definedName>
    <definedName name="Names_Annual">#REF!</definedName>
    <definedName name="Names_Monthly" localSheetId="1">#REF!</definedName>
    <definedName name="Names_Monthly" localSheetId="8">#REF!</definedName>
    <definedName name="Names_Monthly">#REF!</definedName>
    <definedName name="NAMES_Q" localSheetId="1">#REF!</definedName>
    <definedName name="NAMES_Q" localSheetId="8">#REF!</definedName>
    <definedName name="NAMES_Q">#REF!</definedName>
    <definedName name="names_w" localSheetId="1">#REF!</definedName>
    <definedName name="names_w" localSheetId="8">#REF!</definedName>
    <definedName name="names_w">#REF!</definedName>
    <definedName name="NBNBNBJGJGFF" localSheetId="1">#REF!</definedName>
    <definedName name="NBNBNBJGJGFF" localSheetId="8">#REF!</definedName>
    <definedName name="NBNBNBJGJGFF">#REF!</definedName>
    <definedName name="NCG">#N/A</definedName>
    <definedName name="NCG_R">#N/A</definedName>
    <definedName name="NCP">#N/A</definedName>
    <definedName name="NCP_R">#N/A</definedName>
    <definedName name="Ndf" localSheetId="1">[41]Terms!#REF!</definedName>
    <definedName name="Ndf" localSheetId="8">[41]Terms!#REF!</definedName>
    <definedName name="Ndf">[41]Terms!#REF!</definedName>
    <definedName name="NFI">#N/A</definedName>
    <definedName name="NFI_R">#N/A</definedName>
    <definedName name="NFPS_" localSheetId="1">[29]OPS!#REF!</definedName>
    <definedName name="NFPS_" localSheetId="8">[29]OPS!#REF!</definedName>
    <definedName name="NFPS_">[29]OPS!#REF!</definedName>
    <definedName name="NGDP">#N/A</definedName>
    <definedName name="NGDP_D.ARQ" localSheetId="1">#REF!</definedName>
    <definedName name="NGDP_D.ARQ" localSheetId="14">#REF!</definedName>
    <definedName name="NGDP_D.ARQ" localSheetId="8">#REF!</definedName>
    <definedName name="NGDP_D.ARQ">#REF!</definedName>
    <definedName name="NGDP_D.Q" localSheetId="1">#REF!</definedName>
    <definedName name="NGDP_D.Q" localSheetId="14">#REF!</definedName>
    <definedName name="NGDP_D.Q" localSheetId="8">#REF!</definedName>
    <definedName name="NGDP_D.Q">#REF!</definedName>
    <definedName name="NGDP_D.YOY" localSheetId="1">#REF!</definedName>
    <definedName name="NGDP_D.YOY" localSheetId="14">#REF!</definedName>
    <definedName name="NGDP_D.YOY" localSheetId="8">#REF!</definedName>
    <definedName name="NGDP_D.YOY">#REF!</definedName>
    <definedName name="NGDP_DG">#N/A</definedName>
    <definedName name="NGDP_R">#N/A</definedName>
    <definedName name="NGDP_R.ARQ" localSheetId="1">#REF!</definedName>
    <definedName name="NGDP_R.ARQ" localSheetId="14">#REF!</definedName>
    <definedName name="NGDP_R.ARQ" localSheetId="8">#REF!</definedName>
    <definedName name="NGDP_R.ARQ">#REF!</definedName>
    <definedName name="NGDP_R.Q" localSheetId="1">#REF!</definedName>
    <definedName name="NGDP_R.Q" localSheetId="14">#REF!</definedName>
    <definedName name="NGDP_R.Q" localSheetId="8">#REF!</definedName>
    <definedName name="NGDP_R.Q">#REF!</definedName>
    <definedName name="NGDP_R.YOY" localSheetId="1">#REF!</definedName>
    <definedName name="NGDP_R.YOY" localSheetId="14">#REF!</definedName>
    <definedName name="NGDP_R.YOY" localSheetId="8">#REF!</definedName>
    <definedName name="NGDP_R.YOY">#REF!</definedName>
    <definedName name="NGDP_RG">#N/A</definedName>
    <definedName name="NGDPA" localSheetId="1">#REF!</definedName>
    <definedName name="NGDPA" localSheetId="14">#REF!</definedName>
    <definedName name="NGDPA" localSheetId="8">#REF!</definedName>
    <definedName name="NGDPA">#REF!</definedName>
    <definedName name="NGS_NGDP">#N/A</definedName>
    <definedName name="NINV">#N/A</definedName>
    <definedName name="NINV_R">#N/A</definedName>
    <definedName name="NM" localSheetId="1">#REF!</definedName>
    <definedName name="NM" localSheetId="14">#REF!</definedName>
    <definedName name="NM" localSheetId="8">#REF!</definedName>
    <definedName name="NM">#REF!</definedName>
    <definedName name="NM_R">#N/A</definedName>
    <definedName name="NMG_RG">#N/A</definedName>
    <definedName name="nn" localSheetId="14" hidden="1">{"Riqfin97",#N/A,FALSE,"Tran";"Riqfinpro",#N/A,FALSE,"Tran"}</definedName>
    <definedName name="nn" hidden="1">{"Riqfin97",#N/A,FALSE,"Tran";"Riqfinpro",#N/A,FALSE,"Tran"}</definedName>
    <definedName name="nnn">#N/A</definedName>
    <definedName name="NNNNN" localSheetId="1">#REF!</definedName>
    <definedName name="NNNNN" localSheetId="14">#REF!</definedName>
    <definedName name="NNNNN" localSheetId="8">#REF!</definedName>
    <definedName name="NNNNN">#REF!</definedName>
    <definedName name="NNNNNN" localSheetId="1">'[38]PAPE-98'!#REF!</definedName>
    <definedName name="NNNNNN" localSheetId="14">'[38]PAPE-98'!#REF!</definedName>
    <definedName name="NNNNNN" localSheetId="8">'[38]PAPE-98'!#REF!</definedName>
    <definedName name="NNNNNN">'[38]PAPE-98'!#REF!</definedName>
    <definedName name="nnnnnnnnnn" localSheetId="14" hidden="1">{"Minpmon",#N/A,FALSE,"Monthinput"}</definedName>
    <definedName name="nnnnnnnnnn" hidden="1">{"Minpmon",#N/A,FALSE,"Monthinput"}</definedName>
    <definedName name="nnnnnnnnnnnn" localSheetId="14" hidden="1">{"Riqfin97",#N/A,FALSE,"Tran";"Riqfinpro",#N/A,FALSE,"Tran"}</definedName>
    <definedName name="nnnnnnnnnnnn" hidden="1">{"Riqfin97",#N/A,FALSE,"Tran";"Riqfinpro",#N/A,FALSE,"Tran"}</definedName>
    <definedName name="NombreTabla">"Dummy"</definedName>
    <definedName name="NOSE" localSheetId="1">#REF!</definedName>
    <definedName name="NOSE" localSheetId="14">#REF!</definedName>
    <definedName name="NOSE" localSheetId="8">#REF!</definedName>
    <definedName name="NOSE">#REF!</definedName>
    <definedName name="nose1" localSheetId="1">#REF!</definedName>
    <definedName name="nose1" localSheetId="14">#REF!</definedName>
    <definedName name="nose1" localSheetId="8">#REF!</definedName>
    <definedName name="nose1">#REF!</definedName>
    <definedName name="NOTRAD1" localSheetId="1">#REF!</definedName>
    <definedName name="NOTRAD1" localSheetId="14">#REF!</definedName>
    <definedName name="NOTRAD1" localSheetId="8">#REF!</definedName>
    <definedName name="NOTRAD1">#REF!</definedName>
    <definedName name="NTDD_R.ARQ" localSheetId="1">#REF!</definedName>
    <definedName name="NTDD_R.ARQ" localSheetId="8">#REF!</definedName>
    <definedName name="NTDD_R.ARQ">#REF!</definedName>
    <definedName name="NTDD_R.Q" localSheetId="1">#REF!</definedName>
    <definedName name="NTDD_R.Q" localSheetId="8">#REF!</definedName>
    <definedName name="NTDD_R.Q">#REF!</definedName>
    <definedName name="NTDD_R.YOY" localSheetId="1">#REF!</definedName>
    <definedName name="NTDD_R.YOY" localSheetId="8">#REF!</definedName>
    <definedName name="NTDD_R.YOY">#REF!</definedName>
    <definedName name="NTDD_RG">#N/A</definedName>
    <definedName name="NUEVO" localSheetId="1">[89]EXP1998!#REF!</definedName>
    <definedName name="NUEVO" localSheetId="14">[89]EXP1998!#REF!</definedName>
    <definedName name="NUEVO" localSheetId="8">[89]EXP1998!#REF!</definedName>
    <definedName name="NUEVO">[89]EXP1998!#REF!</definedName>
    <definedName name="Num_Pmt_Per_Year" localSheetId="1">#REF!</definedName>
    <definedName name="Num_Pmt_Per_Year" localSheetId="14">#REF!</definedName>
    <definedName name="Num_Pmt_Per_Year" localSheetId="8">#REF!</definedName>
    <definedName name="Num_Pmt_Per_Year">#REF!</definedName>
    <definedName name="Number_of_Payments">#N/A</definedName>
    <definedName name="NX">#N/A</definedName>
    <definedName name="NX_R">#N/A</definedName>
    <definedName name="nxcv" localSheetId="1">#REF!</definedName>
    <definedName name="nxcv" localSheetId="14">#REF!</definedName>
    <definedName name="nxcv" localSheetId="8">#REF!</definedName>
    <definedName name="nxcv">#REF!</definedName>
    <definedName name="NXG_RG">#N/A</definedName>
    <definedName name="Ñ" localSheetId="1">#REF!</definedName>
    <definedName name="Ñ" localSheetId="14">#REF!</definedName>
    <definedName name="Ñ" localSheetId="8">#REF!</definedName>
    <definedName name="Ñ">#REF!</definedName>
    <definedName name="ñññ" localSheetId="1" hidden="1">[37]Retroactivos!#REF!</definedName>
    <definedName name="ñññ" localSheetId="14" hidden="1">[37]Retroactivos!#REF!</definedName>
    <definedName name="ñññ" localSheetId="8" hidden="1">[37]Retroactivos!#REF!</definedName>
    <definedName name="ñññ" hidden="1">[37]Retroactivos!#REF!</definedName>
    <definedName name="observaciones" localSheetId="1">#REF!</definedName>
    <definedName name="observaciones" localSheetId="14">#REF!</definedName>
    <definedName name="observaciones" localSheetId="8">#REF!</definedName>
    <definedName name="observaciones">#REF!</definedName>
    <definedName name="Oil_gas">'[90]Real forecast'!$A$106:$AC$192</definedName>
    <definedName name="OnShow">#N/A</definedName>
    <definedName name="oo" localSheetId="14" hidden="1">{"Riqfin97",#N/A,FALSE,"Tran";"Riqfinpro",#N/A,FALSE,"Tran"}</definedName>
    <definedName name="oo" hidden="1">{"Riqfin97",#N/A,FALSE,"Tran";"Riqfinpro",#N/A,FALSE,"Tran"}</definedName>
    <definedName name="ooo" localSheetId="14" hidden="1">{"Tab1",#N/A,FALSE,"P";"Tab2",#N/A,FALSE,"P"}</definedName>
    <definedName name="ooo" hidden="1">{"Tab1",#N/A,FALSE,"P";"Tab2",#N/A,FALSE,"P"}</definedName>
    <definedName name="oooo" localSheetId="14" hidden="1">{"Tab1",#N/A,FALSE,"P";"Tab2",#N/A,FALSE,"P"}</definedName>
    <definedName name="oooo" hidden="1">{"Tab1",#N/A,FALSE,"P";"Tab2",#N/A,FALSE,"P"}</definedName>
    <definedName name="OPCION1">'[3]PAG-28'!$CD$5</definedName>
    <definedName name="OPCION2">'[3]PAG-28'!$CD$11</definedName>
    <definedName name="OPCION3">'[3]PAG-28'!$CF$5</definedName>
    <definedName name="Opec" localSheetId="1">[41]Terms!#REF!</definedName>
    <definedName name="Opec" localSheetId="14">[41]Terms!#REF!</definedName>
    <definedName name="Opec" localSheetId="8">[41]Terms!#REF!</definedName>
    <definedName name="Opec">[41]Terms!#REF!</definedName>
    <definedName name="opu" localSheetId="14" hidden="1">{"Riqfin97",#N/A,FALSE,"Tran";"Riqfinpro",#N/A,FALSE,"Tran"}</definedName>
    <definedName name="opu" hidden="1">{"Riqfin97",#N/A,FALSE,"Tran";"Riqfinpro",#N/A,FALSE,"Tran"}</definedName>
    <definedName name="Otras_Residuales" localSheetId="1">#REF!</definedName>
    <definedName name="Otras_Residuales" localSheetId="14">#REF!</definedName>
    <definedName name="Otras_Residuales" localSheetId="8">#REF!</definedName>
    <definedName name="Otras_Residuales">#REF!</definedName>
    <definedName name="OTRAS1" localSheetId="1">#REF!</definedName>
    <definedName name="OTRAS1" localSheetId="14">#REF!</definedName>
    <definedName name="OTRAS1" localSheetId="8">#REF!</definedName>
    <definedName name="OTRAS1">#REF!</definedName>
    <definedName name="OTRAS2" localSheetId="1">#REF!</definedName>
    <definedName name="OTRAS2" localSheetId="14">#REF!</definedName>
    <definedName name="OTRAS2" localSheetId="8">#REF!</definedName>
    <definedName name="OTRAS2">#REF!</definedName>
    <definedName name="OTRAS96" localSheetId="1">#REF!</definedName>
    <definedName name="OTRAS96" localSheetId="8">#REF!</definedName>
    <definedName name="OTRAS96">#REF!</definedName>
    <definedName name="otro" localSheetId="1">'[91]Ejecución 2004'!#REF!</definedName>
    <definedName name="otro" localSheetId="8">'[91]Ejecución 2004'!#REF!</definedName>
    <definedName name="otro">'[91]Ejecución 2004'!#REF!</definedName>
    <definedName name="OTROS1" localSheetId="1">#REF!</definedName>
    <definedName name="OTROS1" localSheetId="14">#REF!</definedName>
    <definedName name="OTROS1" localSheetId="8">#REF!</definedName>
    <definedName name="OTROS1">#REF!</definedName>
    <definedName name="otros2000" localSheetId="1">#REF!</definedName>
    <definedName name="otros2000" localSheetId="14">#REF!</definedName>
    <definedName name="otros2000" localSheetId="8">#REF!</definedName>
    <definedName name="otros2000">#REF!</definedName>
    <definedName name="otros2001" localSheetId="1">#REF!</definedName>
    <definedName name="otros2001" localSheetId="14">#REF!</definedName>
    <definedName name="otros2001" localSheetId="8">#REF!</definedName>
    <definedName name="otros2001">#REF!</definedName>
    <definedName name="otros2002" localSheetId="1">#REF!</definedName>
    <definedName name="otros2002" localSheetId="8">#REF!</definedName>
    <definedName name="otros2002">#REF!</definedName>
    <definedName name="otros2003" localSheetId="1">#REF!</definedName>
    <definedName name="otros2003" localSheetId="8">#REF!</definedName>
    <definedName name="otros2003">#REF!</definedName>
    <definedName name="otros98" localSheetId="1">[22]Programa!#REF!</definedName>
    <definedName name="otros98" localSheetId="8">[22]Programa!#REF!</definedName>
    <definedName name="otros98">[22]Programa!#REF!</definedName>
    <definedName name="otros98j" localSheetId="1">[22]Programa!#REF!</definedName>
    <definedName name="otros98j" localSheetId="8">[22]Programa!#REF!</definedName>
    <definedName name="otros98j">[22]Programa!#REF!</definedName>
    <definedName name="otros98s" localSheetId="1">#REF!</definedName>
    <definedName name="otros98s" localSheetId="14">#REF!</definedName>
    <definedName name="otros98s" localSheetId="8">#REF!</definedName>
    <definedName name="otros98s">#REF!</definedName>
    <definedName name="otros99" localSheetId="1">#REF!</definedName>
    <definedName name="otros99" localSheetId="14">#REF!</definedName>
    <definedName name="otros99" localSheetId="8">#REF!</definedName>
    <definedName name="otros99">#REF!</definedName>
    <definedName name="OUTDS1" localSheetId="1">#REF!</definedName>
    <definedName name="OUTDS1" localSheetId="14">#REF!</definedName>
    <definedName name="OUTDS1" localSheetId="8">#REF!</definedName>
    <definedName name="OUTDS1">#REF!</definedName>
    <definedName name="OUTFISC" localSheetId="1">#REF!</definedName>
    <definedName name="OUTFISC" localSheetId="8">#REF!</definedName>
    <definedName name="OUTFISC">#REF!</definedName>
    <definedName name="OUTIMF" localSheetId="1">#REF!</definedName>
    <definedName name="OUTIMF" localSheetId="8">#REF!</definedName>
    <definedName name="OUTIMF">#REF!</definedName>
    <definedName name="OUTMN" localSheetId="1">#REF!</definedName>
    <definedName name="OUTMN" localSheetId="8">#REF!</definedName>
    <definedName name="OUTMN">#REF!</definedName>
    <definedName name="p" localSheetId="14" hidden="1">{"Riqfin97",#N/A,FALSE,"Tran";"Riqfinpro",#N/A,FALSE,"Tran"}</definedName>
    <definedName name="p" hidden="1">{"Riqfin97",#N/A,FALSE,"Tran";"Riqfinpro",#N/A,FALSE,"Tran"}</definedName>
    <definedName name="Pago_IUE_Gestión_2012" localSheetId="1">#REF!</definedName>
    <definedName name="Pago_IUE_Gestión_2012" localSheetId="14">#REF!</definedName>
    <definedName name="Pago_IUE_Gestión_2012" localSheetId="8">#REF!</definedName>
    <definedName name="Pago_IUE_Gestión_2012">#REF!</definedName>
    <definedName name="PART">[92]PART!$A$1:$B$81</definedName>
    <definedName name="PARTIDA" localSheetId="1">[93]SPNF!#REF!</definedName>
    <definedName name="PARTIDA" localSheetId="14">[93]SPNF!#REF!</definedName>
    <definedName name="PARTIDA" localSheetId="8">[93]SPNF!#REF!</definedName>
    <definedName name="PARTIDA">[93]SPNF!#REF!</definedName>
    <definedName name="Path_Data" localSheetId="1">#REF!</definedName>
    <definedName name="Path_Data" localSheetId="14">#REF!</definedName>
    <definedName name="Path_Data" localSheetId="8">#REF!</definedName>
    <definedName name="Path_Data">#REF!</definedName>
    <definedName name="Path_System" localSheetId="1">#REF!</definedName>
    <definedName name="Path_System" localSheetId="14">#REF!</definedName>
    <definedName name="Path_System" localSheetId="8">#REF!</definedName>
    <definedName name="Path_System">#REF!</definedName>
    <definedName name="paty" localSheetId="1">#REF!</definedName>
    <definedName name="paty" localSheetId="14">#REF!</definedName>
    <definedName name="paty" localSheetId="8">#REF!</definedName>
    <definedName name="paty">#REF!</definedName>
    <definedName name="paty2" localSheetId="1">#REF!</definedName>
    <definedName name="paty2" localSheetId="8">#REF!</definedName>
    <definedName name="paty2">#REF!</definedName>
    <definedName name="paty3" localSheetId="1">#REF!</definedName>
    <definedName name="paty3" localSheetId="8">#REF!</definedName>
    <definedName name="paty3">#REF!</definedName>
    <definedName name="Pay_Date" localSheetId="1">#REF!</definedName>
    <definedName name="Pay_Date" localSheetId="8">#REF!</definedName>
    <definedName name="Pay_Date">#REF!</definedName>
    <definedName name="Pay_Num" localSheetId="1">#REF!</definedName>
    <definedName name="Pay_Num" localSheetId="8">#REF!</definedName>
    <definedName name="Pay_Num">#REF!</definedName>
    <definedName name="Payment_Date">#N/A</definedName>
    <definedName name="Payment_Needed">"Pago necesario"</definedName>
    <definedName name="pc" localSheetId="1">'[94]GAS NATURAL'!#REF!</definedName>
    <definedName name="pc" localSheetId="14">'[94]GAS NATURAL'!#REF!</definedName>
    <definedName name="pc" localSheetId="8">'[94]GAS NATURAL'!#REF!</definedName>
    <definedName name="pc">'[94]GAS NATURAL'!#REF!</definedName>
    <definedName name="pchBM" localSheetId="1">[69]Q6!#REF!</definedName>
    <definedName name="pchBM" localSheetId="14">[69]Q6!#REF!</definedName>
    <definedName name="pchBM" localSheetId="8">[69]Q6!#REF!</definedName>
    <definedName name="pchBM">[69]Q6!#REF!</definedName>
    <definedName name="pchBX" localSheetId="1">[69]Q6!#REF!</definedName>
    <definedName name="pchBX" localSheetId="14">[69]Q6!#REF!</definedName>
    <definedName name="pchBX" localSheetId="8">[69]Q6!#REF!</definedName>
    <definedName name="pchBX">[69]Q6!#REF!</definedName>
    <definedName name="PCPI.ARQ" localSheetId="1">#REF!</definedName>
    <definedName name="PCPI.ARQ" localSheetId="14">#REF!</definedName>
    <definedName name="PCPI.ARQ" localSheetId="8">#REF!</definedName>
    <definedName name="PCPI.ARQ">#REF!</definedName>
    <definedName name="PCPI.Q" localSheetId="1">#REF!</definedName>
    <definedName name="PCPI.Q" localSheetId="14">#REF!</definedName>
    <definedName name="PCPI.Q" localSheetId="8">#REF!</definedName>
    <definedName name="PCPI.Q">#REF!</definedName>
    <definedName name="PCPI.YOY" localSheetId="1">#REF!</definedName>
    <definedName name="PCPI.YOY" localSheetId="14">#REF!</definedName>
    <definedName name="PCPI.YOY" localSheetId="8">#REF!</definedName>
    <definedName name="PCPI.YOY">#REF!</definedName>
    <definedName name="PCPIG">#N/A</definedName>
    <definedName name="PE">[35]PE!$A$1:$AC$94</definedName>
    <definedName name="PEACEAGR" localSheetId="1">#REF!</definedName>
    <definedName name="PEACEAGR" localSheetId="14">#REF!</definedName>
    <definedName name="PEACEAGR" localSheetId="8">#REF!</definedName>
    <definedName name="PEACEAGR">#REF!</definedName>
    <definedName name="PERE96" localSheetId="1">#REF!</definedName>
    <definedName name="PERE96" localSheetId="14">#REF!</definedName>
    <definedName name="PERE96" localSheetId="8">#REF!</definedName>
    <definedName name="PERE96">#REF!</definedName>
    <definedName name="petrobras" localSheetId="1">#REF!</definedName>
    <definedName name="petrobras" localSheetId="14">#REF!</definedName>
    <definedName name="petrobras" localSheetId="8">#REF!</definedName>
    <definedName name="petrobras">#REF!</definedName>
    <definedName name="Petroecuador" localSheetId="1">#REF!</definedName>
    <definedName name="Petroecuador" localSheetId="8">#REF!</definedName>
    <definedName name="Petroecuador">#REF!</definedName>
    <definedName name="PEX">[62]SUPUESTOS!A$14</definedName>
    <definedName name="Pib">[95]Resumen!$C$24</definedName>
    <definedName name="pib_" localSheetId="1">#REF!</definedName>
    <definedName name="pib_" localSheetId="14">#REF!</definedName>
    <definedName name="pib_" localSheetId="8">#REF!</definedName>
    <definedName name="pib_">#REF!</definedName>
    <definedName name="pib_int" localSheetId="1">#REF!</definedName>
    <definedName name="pib_int" localSheetId="14">#REF!</definedName>
    <definedName name="pib_int" localSheetId="8">#REF!</definedName>
    <definedName name="pib_int">#REF!</definedName>
    <definedName name="pib98j" localSheetId="1">[22]Programa!#REF!</definedName>
    <definedName name="pib98j" localSheetId="14">[22]Programa!#REF!</definedName>
    <definedName name="pib98j" localSheetId="8">[22]Programa!#REF!</definedName>
    <definedName name="pib98j">[22]Programa!#REF!</definedName>
    <definedName name="pib98s" localSheetId="1">[22]Programa!#REF!</definedName>
    <definedName name="pib98s" localSheetId="14">[22]Programa!#REF!</definedName>
    <definedName name="pib98s" localSheetId="8">[22]Programa!#REF!</definedName>
    <definedName name="pib98s">[22]Programa!#REF!</definedName>
    <definedName name="PIBporSECT" localSheetId="1">#REF!</definedName>
    <definedName name="PIBporSECT" localSheetId="14">#REF!</definedName>
    <definedName name="PIBporSECT" localSheetId="8">#REF!</definedName>
    <definedName name="PIBporSECT">#REF!</definedName>
    <definedName name="pit" localSheetId="14" hidden="1">{"Riqfin97",#N/A,FALSE,"Tran";"Riqfinpro",#N/A,FALSE,"Tran"}</definedName>
    <definedName name="pit" hidden="1">{"Riqfin97",#N/A,FALSE,"Tran";"Riqfinpro",#N/A,FALSE,"Tran"}</definedName>
    <definedName name="pjo" localSheetId="1">'[9]FLC Chimoré'!#REF!</definedName>
    <definedName name="pjo" localSheetId="8">'[9]FLC Chimoré'!#REF!</definedName>
    <definedName name="pjo">'[9]FLC Chimoré'!#REF!</definedName>
    <definedName name="pjs" localSheetId="1">'[9]FLC Chimoré'!#REF!</definedName>
    <definedName name="pjs" localSheetId="8">'[9]FLC Chimoré'!#REF!</definedName>
    <definedName name="pjs">'[9]FLC Chimoré'!#REF!</definedName>
    <definedName name="PL" localSheetId="1">#REF!</definedName>
    <definedName name="PL" localSheetId="14">#REF!</definedName>
    <definedName name="PL" localSheetId="8">#REF!</definedName>
    <definedName name="PL">#REF!</definedName>
    <definedName name="plame" localSheetId="1">#REF!</definedName>
    <definedName name="plame" localSheetId="14">#REF!</definedName>
    <definedName name="plame" localSheetId="8">#REF!</definedName>
    <definedName name="plame">#REF!</definedName>
    <definedName name="plame2000" localSheetId="1">#REF!</definedName>
    <definedName name="plame2000" localSheetId="14">#REF!</definedName>
    <definedName name="plame2000" localSheetId="8">#REF!</definedName>
    <definedName name="plame2000">#REF!</definedName>
    <definedName name="plame2001" localSheetId="1">#REF!</definedName>
    <definedName name="plame2001" localSheetId="8">#REF!</definedName>
    <definedName name="plame2001">#REF!</definedName>
    <definedName name="plame2002" localSheetId="1">#REF!</definedName>
    <definedName name="plame2002" localSheetId="8">#REF!</definedName>
    <definedName name="plame2002">#REF!</definedName>
    <definedName name="plame2003" localSheetId="1">#REF!</definedName>
    <definedName name="plame2003" localSheetId="8">#REF!</definedName>
    <definedName name="plame2003">#REF!</definedName>
    <definedName name="plame98" localSheetId="1">[22]Programa!#REF!</definedName>
    <definedName name="plame98" localSheetId="8">[22]Programa!#REF!</definedName>
    <definedName name="plame98">[22]Programa!#REF!</definedName>
    <definedName name="plame98j" localSheetId="1">[22]Programa!#REF!</definedName>
    <definedName name="plame98j" localSheetId="8">[22]Programa!#REF!</definedName>
    <definedName name="plame98j">[22]Programa!#REF!</definedName>
    <definedName name="plame98s" localSheetId="1">#REF!</definedName>
    <definedName name="plame98s" localSheetId="14">#REF!</definedName>
    <definedName name="plame98s" localSheetId="8">#REF!</definedName>
    <definedName name="plame98s">#REF!</definedName>
    <definedName name="plame99" localSheetId="1">#REF!</definedName>
    <definedName name="plame99" localSheetId="14">#REF!</definedName>
    <definedName name="plame99" localSheetId="8">#REF!</definedName>
    <definedName name="plame99">#REF!</definedName>
    <definedName name="planta" localSheetId="1">#REF!</definedName>
    <definedName name="planta" localSheetId="14">#REF!</definedName>
    <definedName name="planta" localSheetId="8">#REF!</definedName>
    <definedName name="planta">#REF!</definedName>
    <definedName name="plazo" localSheetId="1">#REF!</definedName>
    <definedName name="plazo" localSheetId="8">#REF!</definedName>
    <definedName name="plazo">#REF!</definedName>
    <definedName name="plazo2000" localSheetId="1">#REF!</definedName>
    <definedName name="plazo2000" localSheetId="8">#REF!</definedName>
    <definedName name="plazo2000">#REF!</definedName>
    <definedName name="plazo2001" localSheetId="1">#REF!</definedName>
    <definedName name="plazo2001" localSheetId="8">#REF!</definedName>
    <definedName name="plazo2001">#REF!</definedName>
    <definedName name="plazo2002" localSheetId="1">#REF!</definedName>
    <definedName name="plazo2002" localSheetId="8">#REF!</definedName>
    <definedName name="plazo2002">#REF!</definedName>
    <definedName name="plazo2003" localSheetId="1">#REF!</definedName>
    <definedName name="plazo2003" localSheetId="8">#REF!</definedName>
    <definedName name="plazo2003">#REF!</definedName>
    <definedName name="plazo98" localSheetId="1">[22]Programa!#REF!</definedName>
    <definedName name="plazo98" localSheetId="8">[22]Programa!#REF!</definedName>
    <definedName name="plazo98">[22]Programa!#REF!</definedName>
    <definedName name="plazo98j" localSheetId="1">[22]Programa!#REF!</definedName>
    <definedName name="plazo98j" localSheetId="8">[22]Programa!#REF!</definedName>
    <definedName name="plazo98j">[22]Programa!#REF!</definedName>
    <definedName name="plazo98s" localSheetId="1">#REF!</definedName>
    <definedName name="plazo98s" localSheetId="14">#REF!</definedName>
    <definedName name="plazo98s" localSheetId="8">#REF!</definedName>
    <definedName name="plazo98s">#REF!</definedName>
    <definedName name="plazo99" localSheetId="1">#REF!</definedName>
    <definedName name="plazo99" localSheetId="14">#REF!</definedName>
    <definedName name="plazo99" localSheetId="8">#REF!</definedName>
    <definedName name="plazo99">#REF!</definedName>
    <definedName name="poa" localSheetId="1">#REF!</definedName>
    <definedName name="poa" localSheetId="14">#REF!</definedName>
    <definedName name="poa" localSheetId="8">#REF!</definedName>
    <definedName name="poa">#REF!</definedName>
    <definedName name="Ports" localSheetId="1">#REF!</definedName>
    <definedName name="Ports" localSheetId="8">#REF!</definedName>
    <definedName name="Ports">#REF!</definedName>
    <definedName name="posnet2" localSheetId="1">#REF!</definedName>
    <definedName name="posnet2" localSheetId="8">#REF!</definedName>
    <definedName name="posnet2">#REF!</definedName>
    <definedName name="POTOSI" localSheetId="1">#REF!,#REF!</definedName>
    <definedName name="POTOSI" localSheetId="14">#REF!,#REF!</definedName>
    <definedName name="POTOSI" localSheetId="8">#REF!,#REF!</definedName>
    <definedName name="POTOSI">#REF!,#REF!</definedName>
    <definedName name="pp" localSheetId="14" hidden="1">{"Riqfin97",#N/A,FALSE,"Tran";"Riqfinpro",#N/A,FALSE,"Tran"}</definedName>
    <definedName name="pp" hidden="1">{"Riqfin97",#N/A,FALSE,"Tran";"Riqfinpro",#N/A,FALSE,"Tran"}</definedName>
    <definedName name="ppp" localSheetId="14" hidden="1">{"Riqfin97",#N/A,FALSE,"Tran";"Riqfinpro",#N/A,FALSE,"Tran"}</definedName>
    <definedName name="ppp" hidden="1">{"Riqfin97",#N/A,FALSE,"Tran";"Riqfinpro",#N/A,FALSE,"Tran"}</definedName>
    <definedName name="pppppp" localSheetId="14" hidden="1">{"Riqfin97",#N/A,FALSE,"Tran";"Riqfinpro",#N/A,FALSE,"Tran"}</definedName>
    <definedName name="pppppp" hidden="1">{"Riqfin97",#N/A,FALSE,"Tran";"Riqfinpro",#N/A,FALSE,"Tran"}</definedName>
    <definedName name="PPPWGT">#N/A</definedName>
    <definedName name="ppto2008" localSheetId="1">#REF!</definedName>
    <definedName name="ppto2008" localSheetId="14">#REF!</definedName>
    <definedName name="ppto2008" localSheetId="8">#REF!</definedName>
    <definedName name="ppto2008">#REF!</definedName>
    <definedName name="PRECIO" localSheetId="1">#REF!</definedName>
    <definedName name="PRECIO" localSheetId="14">#REF!</definedName>
    <definedName name="PRECIO" localSheetId="8">#REF!</definedName>
    <definedName name="PRECIO">#REF!</definedName>
    <definedName name="precios" localSheetId="1">#REF!</definedName>
    <definedName name="precios" localSheetId="14">#REF!</definedName>
    <definedName name="precios" localSheetId="8">#REF!</definedName>
    <definedName name="precios">#REF!</definedName>
    <definedName name="PrimerTRIM" localSheetId="1">#REF!</definedName>
    <definedName name="PrimerTRIM" localSheetId="8">#REF!</definedName>
    <definedName name="PrimerTRIM">#REF!</definedName>
    <definedName name="Princ" localSheetId="1">#REF!</definedName>
    <definedName name="Princ" localSheetId="8">#REF!</definedName>
    <definedName name="Princ">#REF!</definedName>
    <definedName name="print" localSheetId="1">#REF!</definedName>
    <definedName name="print" localSheetId="8">#REF!</definedName>
    <definedName name="print">#REF!</definedName>
    <definedName name="Print_Area_Reset">#N/A</definedName>
    <definedName name="PRIV0" localSheetId="1">[96]ASSUMPTIONS!#REF!</definedName>
    <definedName name="PRIV0" localSheetId="8">[96]ASSUMPTIONS!#REF!</definedName>
    <definedName name="PRIV0">[96]ASSUMPTIONS!#REF!</definedName>
    <definedName name="PRIV00" localSheetId="1">[96]ASSUMPTIONS!#REF!</definedName>
    <definedName name="PRIV00" localSheetId="8">[96]ASSUMPTIONS!#REF!</definedName>
    <definedName name="PRIV00">[96]ASSUMPTIONS!#REF!</definedName>
    <definedName name="priv1" localSheetId="1">#REF!</definedName>
    <definedName name="priv1" localSheetId="14">#REF!</definedName>
    <definedName name="priv1" localSheetId="8">#REF!</definedName>
    <definedName name="priv1">#REF!</definedName>
    <definedName name="PRIV11" localSheetId="1">[96]ASSUMPTIONS!#REF!</definedName>
    <definedName name="PRIV11" localSheetId="8">[96]ASSUMPTIONS!#REF!</definedName>
    <definedName name="PRIV11">[96]ASSUMPTIONS!#REF!</definedName>
    <definedName name="priv2" localSheetId="1">#REF!</definedName>
    <definedName name="priv2" localSheetId="14">#REF!</definedName>
    <definedName name="priv2" localSheetId="8">#REF!</definedName>
    <definedName name="priv2">#REF!</definedName>
    <definedName name="PRIV22" localSheetId="1">[96]ASSUMPTIONS!#REF!</definedName>
    <definedName name="PRIV22" localSheetId="8">[96]ASSUMPTIONS!#REF!</definedName>
    <definedName name="PRIV22">[96]ASSUMPTIONS!#REF!</definedName>
    <definedName name="PRIV3" localSheetId="1">[96]ASSUMPTIONS!#REF!</definedName>
    <definedName name="PRIV3" localSheetId="8">[96]ASSUMPTIONS!#REF!</definedName>
    <definedName name="PRIV3">[96]ASSUMPTIONS!#REF!</definedName>
    <definedName name="PRIV33" localSheetId="1">[96]ASSUMPTIONS!#REF!</definedName>
    <definedName name="PRIV33" localSheetId="8">[96]ASSUMPTIONS!#REF!</definedName>
    <definedName name="PRIV33">[96]ASSUMPTIONS!#REF!</definedName>
    <definedName name="PRO" localSheetId="14" hidden="1">{"SR_tbs",#N/A,FALSE,"MGSSEI";"SR_tbs",#N/A,FALSE,"MGSBOX";"SR_tbs",#N/A,FALSE,"MGSOCIND"}</definedName>
    <definedName name="PRO" hidden="1">{"SR_tbs",#N/A,FALSE,"MGSSEI";"SR_tbs",#N/A,FALSE,"MGSBOX";"SR_tbs",#N/A,FALSE,"MGSOCIND"}</definedName>
    <definedName name="PRODCMB" localSheetId="1">#REF!</definedName>
    <definedName name="PRODCMB" localSheetId="14">#REF!</definedName>
    <definedName name="PRODCMB" localSheetId="8">#REF!</definedName>
    <definedName name="PRODCMB">#REF!</definedName>
    <definedName name="PRODCONC" localSheetId="1">#REF!</definedName>
    <definedName name="PRODCONC" localSheetId="14">#REF!</definedName>
    <definedName name="PRODCONC" localSheetId="8">#REF!</definedName>
    <definedName name="PRODCONC">#REF!</definedName>
    <definedName name="PRODDEP" localSheetId="1">#REF!</definedName>
    <definedName name="PRODDEP" localSheetId="14">#REF!</definedName>
    <definedName name="PRODDEP" localSheetId="8">#REF!</definedName>
    <definedName name="PRODDEP">#REF!</definedName>
    <definedName name="PRODMCOOP" localSheetId="1">#REF!</definedName>
    <definedName name="PRODMCOOP" localSheetId="8">#REF!</definedName>
    <definedName name="PRODMCOOP">#REF!</definedName>
    <definedName name="PRODMMED" localSheetId="1">#REF!</definedName>
    <definedName name="PRODMMED" localSheetId="8">#REF!</definedName>
    <definedName name="PRODMMED">#REF!</definedName>
    <definedName name="PROG">'[31]Assumptions:Cash Flow'!$B$2:$J$72</definedName>
    <definedName name="progra" localSheetId="1">#REF!</definedName>
    <definedName name="progra" localSheetId="14">#REF!</definedName>
    <definedName name="progra" localSheetId="8">#REF!</definedName>
    <definedName name="progra">#REF!</definedName>
    <definedName name="PROJ">[31]Assumptions:Fund!$B$2:$N$57</definedName>
    <definedName name="PROS" localSheetId="1">#REF!</definedName>
    <definedName name="PROS" localSheetId="14">#REF!</definedName>
    <definedName name="PROS" localSheetId="8">#REF!</definedName>
    <definedName name="PROS">#REF!</definedName>
    <definedName name="Proy" localSheetId="1">#REF!</definedName>
    <definedName name="Proy" localSheetId="14">#REF!</definedName>
    <definedName name="Proy" localSheetId="8">#REF!</definedName>
    <definedName name="Proy">#REF!</definedName>
    <definedName name="PROYECTO" localSheetId="1">#REF!</definedName>
    <definedName name="PROYECTO" localSheetId="14">#REF!</definedName>
    <definedName name="PROYECTO" localSheetId="8">#REF!</definedName>
    <definedName name="PROYECTO">#REF!</definedName>
    <definedName name="proyecto2" localSheetId="1">#REF!</definedName>
    <definedName name="proyecto2" localSheetId="8">#REF!</definedName>
    <definedName name="proyecto2">#REF!</definedName>
    <definedName name="pruebas" localSheetId="1">#REF!</definedName>
    <definedName name="pruebas" localSheetId="8">#REF!</definedName>
    <definedName name="pruebas">#REF!</definedName>
    <definedName name="PUBL00" localSheetId="1">[96]ASSUMPTIONS!#REF!</definedName>
    <definedName name="PUBL00" localSheetId="8">[96]ASSUMPTIONS!#REF!</definedName>
    <definedName name="PUBL00">[96]ASSUMPTIONS!#REF!</definedName>
    <definedName name="PUBL11" localSheetId="1">[96]ASSUMPTIONS!#REF!</definedName>
    <definedName name="PUBL11" localSheetId="8">[96]ASSUMPTIONS!#REF!</definedName>
    <definedName name="PUBL11">[96]ASSUMPTIONS!#REF!</definedName>
    <definedName name="PUBL2" localSheetId="1">[96]ASSUMPTIONS!#REF!</definedName>
    <definedName name="PUBL2" localSheetId="8">[96]ASSUMPTIONS!#REF!</definedName>
    <definedName name="PUBL2">[96]ASSUMPTIONS!#REF!</definedName>
    <definedName name="PUBL22" localSheetId="1">[96]ASSUMPTIONS!#REF!</definedName>
    <definedName name="PUBL22" localSheetId="8">[96]ASSUMPTIONS!#REF!</definedName>
    <definedName name="PUBL22">[96]ASSUMPTIONS!#REF!</definedName>
    <definedName name="PUBL33" localSheetId="1">[96]ASSUMPTIONS!#REF!</definedName>
    <definedName name="PUBL33" localSheetId="8">[96]ASSUMPTIONS!#REF!</definedName>
    <definedName name="PUBL33">[96]ASSUMPTIONS!#REF!</definedName>
    <definedName name="PUBL5" localSheetId="1">[96]ASSUMPTIONS!#REF!</definedName>
    <definedName name="PUBL5" localSheetId="8">[96]ASSUMPTIONS!#REF!</definedName>
    <definedName name="PUBL5">[96]ASSUMPTIONS!#REF!</definedName>
    <definedName name="PUBL55" localSheetId="1">[96]ASSUMPTIONS!#REF!</definedName>
    <definedName name="PUBL55" localSheetId="8">[96]ASSUMPTIONS!#REF!</definedName>
    <definedName name="PUBL55">[96]ASSUMPTIONS!#REF!</definedName>
    <definedName name="PUBL6" localSheetId="1">[96]ASSUMPTIONS!#REF!</definedName>
    <definedName name="PUBL6" localSheetId="8">[96]ASSUMPTIONS!#REF!</definedName>
    <definedName name="PUBL6">[96]ASSUMPTIONS!#REF!</definedName>
    <definedName name="PUBL66" localSheetId="1">[96]ASSUMPTIONS!#REF!</definedName>
    <definedName name="PUBL66" localSheetId="8">[96]ASSUMPTIONS!#REF!</definedName>
    <definedName name="PUBL66">[96]ASSUMPTIONS!#REF!</definedName>
    <definedName name="Q4Years" localSheetId="1">#REF!</definedName>
    <definedName name="Q4Years" localSheetId="14">#REF!</definedName>
    <definedName name="Q4Years" localSheetId="8">#REF!</definedName>
    <definedName name="Q4Years">#REF!</definedName>
    <definedName name="Q6_" localSheetId="1">#REF!</definedName>
    <definedName name="Q6_" localSheetId="14">#REF!</definedName>
    <definedName name="Q6_" localSheetId="8">#REF!</definedName>
    <definedName name="Q6_">#REF!</definedName>
    <definedName name="qaz" localSheetId="14" hidden="1">{"Tab1",#N/A,FALSE,"P";"Tab2",#N/A,FALSE,"P"}</definedName>
    <definedName name="qaz" hidden="1">{"Tab1",#N/A,FALSE,"P";"Tab2",#N/A,FALSE,"P"}</definedName>
    <definedName name="qer" localSheetId="14" hidden="1">{"Tab1",#N/A,FALSE,"P";"Tab2",#N/A,FALSE,"P"}</definedName>
    <definedName name="qer" hidden="1">{"Tab1",#N/A,FALSE,"P";"Tab2",#N/A,FALSE,"P"}</definedName>
    <definedName name="QFISCAL" localSheetId="1">'[30]Quarterly Raw Data'!#REF!</definedName>
    <definedName name="QFISCAL" localSheetId="8">'[30]Quarterly Raw Data'!#REF!</definedName>
    <definedName name="QFISCAL">'[30]Quarterly Raw Data'!#REF!</definedName>
    <definedName name="qq" localSheetId="1" hidden="1">'[85]J(Priv.Cap)'!#REF!</definedName>
    <definedName name="qq" localSheetId="8" hidden="1">'[85]J(Priv.Cap)'!#REF!</definedName>
    <definedName name="qq" hidden="1">'[85]J(Priv.Cap)'!#REF!</definedName>
    <definedName name="qqq" localSheetId="1" hidden="1">'[68]Eje 2004'!#REF!</definedName>
    <definedName name="qqq" localSheetId="8" hidden="1">'[68]Eje 2004'!#REF!</definedName>
    <definedName name="qqq" hidden="1">'[68]Eje 2004'!#REF!</definedName>
    <definedName name="qqqqq" localSheetId="14" hidden="1">{"Minpmon",#N/A,FALSE,"Monthinput"}</definedName>
    <definedName name="qqqqq" hidden="1">{"Minpmon",#N/A,FALSE,"Monthinput"}</definedName>
    <definedName name="qqqqqqqqqqqqq" localSheetId="14" hidden="1">{"Tab1",#N/A,FALSE,"P";"Tab2",#N/A,FALSE,"P"}</definedName>
    <definedName name="qqqqqqqqqqqqq" hidden="1">{"Tab1",#N/A,FALSE,"P";"Tab2",#N/A,FALSE,"P"}</definedName>
    <definedName name="QTAB7" localSheetId="1">'[30]Quarterly MacroFlow'!#REF!</definedName>
    <definedName name="QTAB7" localSheetId="8">'[30]Quarterly MacroFlow'!#REF!</definedName>
    <definedName name="QTAB7">'[30]Quarterly MacroFlow'!#REF!</definedName>
    <definedName name="QTAB7A" localSheetId="1">'[30]Quarterly MacroFlow'!#REF!</definedName>
    <definedName name="QTAB7A" localSheetId="8">'[30]Quarterly MacroFlow'!#REF!</definedName>
    <definedName name="QTAB7A">'[30]Quarterly MacroFlow'!#REF!</definedName>
    <definedName name="Quarterly_input">'[90]Real forecast'!$M$27:$Q$61</definedName>
    <definedName name="qw" localSheetId="14" hidden="1">{"Riqfin97",#N/A,FALSE,"Tran";"Riqfinpro",#N/A,FALSE,"Tran"}</definedName>
    <definedName name="qw" hidden="1">{"Riqfin97",#N/A,FALSE,"Tran";"Riqfinpro",#N/A,FALSE,"Tran"}</definedName>
    <definedName name="QWQW" localSheetId="1" hidden="1">[71]Retroactivos!#REF!</definedName>
    <definedName name="QWQW" localSheetId="8" hidden="1">[71]Retroactivos!#REF!</definedName>
    <definedName name="QWQW" hidden="1">[71]Retroactivos!#REF!</definedName>
    <definedName name="qwwq" localSheetId="1">#REF!</definedName>
    <definedName name="qwwq" localSheetId="14">#REF!</definedName>
    <definedName name="qwwq" localSheetId="8">#REF!</definedName>
    <definedName name="qwwq">#REF!</definedName>
    <definedName name="RANGLIST" localSheetId="1">'[29]CGvt Rev'!#REF!</definedName>
    <definedName name="RANGLIST" localSheetId="8">'[29]CGvt Rev'!#REF!</definedName>
    <definedName name="RANGLIST">'[29]CGvt Rev'!#REF!</definedName>
    <definedName name="Realprint" localSheetId="1">#REF!</definedName>
    <definedName name="Realprint" localSheetId="14">#REF!</definedName>
    <definedName name="Realprint" localSheetId="8">#REF!</definedName>
    <definedName name="Realprint">#REF!</definedName>
    <definedName name="RECBB" localSheetId="1">#REF!</definedName>
    <definedName name="RECBB" localSheetId="14">#REF!</definedName>
    <definedName name="RECBB" localSheetId="8">#REF!</definedName>
    <definedName name="RECBB">#REF!</definedName>
    <definedName name="Recorder" localSheetId="1">#REF!</definedName>
    <definedName name="Recorder" localSheetId="14">#REF!</definedName>
    <definedName name="Recorder" localSheetId="8">#REF!</definedName>
    <definedName name="Recorder">#REF!</definedName>
    <definedName name="Recover">[97]Macro1!$A$57</definedName>
    <definedName name="redondeo">0</definedName>
    <definedName name="REDTbl3" localSheetId="1">#REF!</definedName>
    <definedName name="REDTbl3" localSheetId="14">#REF!</definedName>
    <definedName name="REDTbl3" localSheetId="8">#REF!</definedName>
    <definedName name="REDTbl3">#REF!</definedName>
    <definedName name="REDTbl4" localSheetId="1">#REF!</definedName>
    <definedName name="REDTbl4" localSheetId="14">#REF!</definedName>
    <definedName name="REDTbl4" localSheetId="8">#REF!</definedName>
    <definedName name="REDTbl4">#REF!</definedName>
    <definedName name="REDTbl5" localSheetId="1">#REF!</definedName>
    <definedName name="REDTbl5" localSheetId="8">#REF!</definedName>
    <definedName name="REDTbl5">#REF!</definedName>
    <definedName name="REDTbl6" localSheetId="1">#REF!</definedName>
    <definedName name="REDTbl6" localSheetId="8">#REF!</definedName>
    <definedName name="REDTbl6">#REF!</definedName>
    <definedName name="REDTbl7" localSheetId="1">#REF!</definedName>
    <definedName name="REDTbl7" localSheetId="8">#REF!</definedName>
    <definedName name="REDTbl7">#REF!</definedName>
    <definedName name="REGISTERALL" localSheetId="1">#REF!</definedName>
    <definedName name="REGISTERALL" localSheetId="8">#REF!</definedName>
    <definedName name="REGISTERALL">#REF!</definedName>
    <definedName name="Reimbursement">"Reembolso"</definedName>
    <definedName name="RELPZ" localSheetId="1">#REF!</definedName>
    <definedName name="RELPZ" localSheetId="14">#REF!</definedName>
    <definedName name="RELPZ" localSheetId="8">#REF!</definedName>
    <definedName name="RELPZ">#REF!</definedName>
    <definedName name="renegocia" localSheetId="1">[22]Programa!#REF!</definedName>
    <definedName name="renegocia" localSheetId="14">[22]Programa!#REF!</definedName>
    <definedName name="renegocia" localSheetId="8">[22]Programa!#REF!</definedName>
    <definedName name="renegocia">[22]Programa!#REF!</definedName>
    <definedName name="RES" localSheetId="1">#REF!</definedName>
    <definedName name="RES" localSheetId="14">#REF!</definedName>
    <definedName name="RES" localSheetId="8">#REF!</definedName>
    <definedName name="RES">#REF!</definedName>
    <definedName name="RESCR" localSheetId="1">#REF!</definedName>
    <definedName name="RESCR" localSheetId="14">#REF!</definedName>
    <definedName name="RESCR" localSheetId="8">#REF!</definedName>
    <definedName name="RESCR">#REF!</definedName>
    <definedName name="RESCZ" localSheetId="1">#REF!</definedName>
    <definedName name="RESCZ" localSheetId="14">#REF!</definedName>
    <definedName name="RESCZ" localSheetId="8">#REF!</definedName>
    <definedName name="RESCZ">#REF!</definedName>
    <definedName name="RESF" localSheetId="1">#REF!</definedName>
    <definedName name="RESF" localSheetId="8">#REF!</definedName>
    <definedName name="RESF">#REF!</definedName>
    <definedName name="RESTNFPS" localSheetId="1">#REF!</definedName>
    <definedName name="RESTNFPS" localSheetId="8">#REF!</definedName>
    <definedName name="RESTNFPS">#REF!</definedName>
    <definedName name="RESTNFPS_" localSheetId="1">#REF!</definedName>
    <definedName name="RESTNFPS_" localSheetId="8">#REF!</definedName>
    <definedName name="RESTNFPS_">#REF!</definedName>
    <definedName name="resu" localSheetId="1">#REF!</definedName>
    <definedName name="resu" localSheetId="8">#REF!</definedName>
    <definedName name="resu">#REF!</definedName>
    <definedName name="resu2" localSheetId="1">#REF!</definedName>
    <definedName name="resu2" localSheetId="8">#REF!</definedName>
    <definedName name="resu2">#REF!</definedName>
    <definedName name="RESU3" localSheetId="1">#REF!</definedName>
    <definedName name="RESU3" localSheetId="8">#REF!</definedName>
    <definedName name="RESU3">#REF!</definedName>
    <definedName name="RESUMEN" localSheetId="1">'[5]Prog-2011'!#REF!</definedName>
    <definedName name="RESUMEN" localSheetId="14">'[5]Prog-2011'!#REF!</definedName>
    <definedName name="RESUMEN" localSheetId="8">'[5]Prog-2011'!#REF!</definedName>
    <definedName name="RESUMEN">'[5]Prog-2011'!#REF!</definedName>
    <definedName name="RESUMENPIB" localSheetId="1">'[5]Prog-2011'!#REF!</definedName>
    <definedName name="RESUMENPIB" localSheetId="14">'[5]Prog-2011'!#REF!</definedName>
    <definedName name="RESUMENPIB" localSheetId="8">'[5]Prog-2011'!#REF!</definedName>
    <definedName name="RESUMENPIB">'[5]Prog-2011'!#REF!</definedName>
    <definedName name="RETJA" localSheetId="1">#REF!</definedName>
    <definedName name="RETJA" localSheetId="14">#REF!</definedName>
    <definedName name="RETJA" localSheetId="8">#REF!</definedName>
    <definedName name="RETJA">#REF!</definedName>
    <definedName name="Retribución_al_Titular_YPFB_Chaco" localSheetId="1">#REF!</definedName>
    <definedName name="Retribución_al_Titular_YPFB_Chaco" localSheetId="14">#REF!</definedName>
    <definedName name="Retribución_al_Titular_YPFB_Chaco" localSheetId="8">#REF!</definedName>
    <definedName name="Retribución_al_Titular_YPFB_Chaco">#REF!</definedName>
    <definedName name="REVENUE_" localSheetId="1">'[29]CGvt Rev'!#REF!</definedName>
    <definedName name="REVENUE_" localSheetId="14">'[29]CGvt Rev'!#REF!</definedName>
    <definedName name="REVENUE_" localSheetId="8">'[29]CGvt Rev'!#REF!</definedName>
    <definedName name="REVENUE_">'[29]CGvt Rev'!#REF!</definedName>
    <definedName name="RF" localSheetId="1">#REF!</definedName>
    <definedName name="RF" localSheetId="14">#REF!</definedName>
    <definedName name="RF" localSheetId="8">#REF!</definedName>
    <definedName name="RF">#REF!</definedName>
    <definedName name="rFecha" localSheetId="1">#REF!,#REF!</definedName>
    <definedName name="rFecha" localSheetId="14">#REF!,#REF!</definedName>
    <definedName name="rFecha" localSheetId="8">#REF!,#REF!</definedName>
    <definedName name="rFecha">#REF!,#REF!</definedName>
    <definedName name="rfInicial" localSheetId="1">#REF!</definedName>
    <definedName name="rfInicial" localSheetId="14">#REF!</definedName>
    <definedName name="rfInicial" localSheetId="8">#REF!</definedName>
    <definedName name="rfInicial">#REF!</definedName>
    <definedName name="rFResumen" localSheetId="1">#REF!</definedName>
    <definedName name="rFResumen" localSheetId="14">#REF!</definedName>
    <definedName name="rFResumen" localSheetId="8">#REF!</definedName>
    <definedName name="rFResumen">#REF!</definedName>
    <definedName name="RFSP" localSheetId="1">#REF!</definedName>
    <definedName name="RFSP" localSheetId="14">#REF!</definedName>
    <definedName name="RFSP" localSheetId="8">#REF!</definedName>
    <definedName name="RFSP">#REF!</definedName>
    <definedName name="rft" localSheetId="14" hidden="1">{"Riqfin97",#N/A,FALSE,"Tran";"Riqfinpro",#N/A,FALSE,"Tran"}</definedName>
    <definedName name="rft" hidden="1">{"Riqfin97",#N/A,FALSE,"Tran";"Riqfinpro",#N/A,FALSE,"Tran"}</definedName>
    <definedName name="rfv" localSheetId="14" hidden="1">{"Tab1",#N/A,FALSE,"P";"Tab2",#N/A,FALSE,"P"}</definedName>
    <definedName name="rfv" hidden="1">{"Tab1",#N/A,FALSE,"P";"Tab2",#N/A,FALSE,"P"}</definedName>
    <definedName name="RgCcode">[98]EERProfile!$B$2</definedName>
    <definedName name="RgCName">[98]EERProfile!$A$2</definedName>
    <definedName name="RGDPA" localSheetId="1">#REF!</definedName>
    <definedName name="RGDPA" localSheetId="14">#REF!</definedName>
    <definedName name="RGDPA" localSheetId="8">#REF!</definedName>
    <definedName name="RGDPA">#REF!</definedName>
    <definedName name="RgFdBaseYr">[98]EERProfile!$O$2</definedName>
    <definedName name="RgFdBper">[98]EERProfile!$M$2</definedName>
    <definedName name="RgFdDefBaseYr">[98]EERProfile!$P$2</definedName>
    <definedName name="RgFdEper">[98]EERProfile!$N$2</definedName>
    <definedName name="RgFdGrFoot">[98]EERProfile!$AC$2</definedName>
    <definedName name="RgFdGrSeries">[98]EERProfile!$AA$2:$AA$7</definedName>
    <definedName name="RgFdGrSeriesVal">[98]EERProfile!$AB$2:$AB$7</definedName>
    <definedName name="RgFdGrType">[98]EERProfile!$Z$2</definedName>
    <definedName name="RgFdPartCseries">[98]EERProfile!$K$2</definedName>
    <definedName name="RgFdPartCsource" localSheetId="1">#REF!</definedName>
    <definedName name="RgFdPartCsource" localSheetId="14">#REF!</definedName>
    <definedName name="RgFdPartCsource" localSheetId="8">#REF!</definedName>
    <definedName name="RgFdPartCsource">#REF!</definedName>
    <definedName name="RgFdPartEseries" localSheetId="1">#REF!</definedName>
    <definedName name="RgFdPartEseries" localSheetId="14">#REF!</definedName>
    <definedName name="RgFdPartEseries" localSheetId="8">#REF!</definedName>
    <definedName name="RgFdPartEseries">#REF!</definedName>
    <definedName name="RgFdPartEsource" localSheetId="1">#REF!</definedName>
    <definedName name="RgFdPartEsource" localSheetId="14">#REF!</definedName>
    <definedName name="RgFdPartEsource" localSheetId="8">#REF!</definedName>
    <definedName name="RgFdPartEsource">#REF!</definedName>
    <definedName name="RgFdPartUserFile">[98]EERProfile!$L$2</definedName>
    <definedName name="RgFdReptCSeries" localSheetId="1">#REF!</definedName>
    <definedName name="RgFdReptCSeries" localSheetId="14">#REF!</definedName>
    <definedName name="RgFdReptCSeries" localSheetId="8">#REF!</definedName>
    <definedName name="RgFdReptCSeries">#REF!</definedName>
    <definedName name="RgFdReptCsource" localSheetId="1">#REF!</definedName>
    <definedName name="RgFdReptCsource" localSheetId="14">#REF!</definedName>
    <definedName name="RgFdReptCsource" localSheetId="8">#REF!</definedName>
    <definedName name="RgFdReptCsource">#REF!</definedName>
    <definedName name="RgFdReptEseries" localSheetId="1">#REF!</definedName>
    <definedName name="RgFdReptEseries" localSheetId="14">#REF!</definedName>
    <definedName name="RgFdReptEseries" localSheetId="8">#REF!</definedName>
    <definedName name="RgFdReptEseries">#REF!</definedName>
    <definedName name="RgFdReptEsource" localSheetId="1">#REF!</definedName>
    <definedName name="RgFdReptEsource" localSheetId="8">#REF!</definedName>
    <definedName name="RgFdReptEsource">#REF!</definedName>
    <definedName name="RgFdReptUserFile">[98]EERProfile!$G$2</definedName>
    <definedName name="RgFdSAMethod" localSheetId="1">#REF!</definedName>
    <definedName name="RgFdSAMethod" localSheetId="14">#REF!</definedName>
    <definedName name="RgFdSAMethod" localSheetId="8">#REF!</definedName>
    <definedName name="RgFdSAMethod">#REF!</definedName>
    <definedName name="RgFdTbBper" localSheetId="1">#REF!</definedName>
    <definedName name="RgFdTbBper" localSheetId="14">#REF!</definedName>
    <definedName name="RgFdTbBper" localSheetId="8">#REF!</definedName>
    <definedName name="RgFdTbBper">#REF!</definedName>
    <definedName name="RgFdTbCreate" localSheetId="1">#REF!</definedName>
    <definedName name="RgFdTbCreate" localSheetId="14">#REF!</definedName>
    <definedName name="RgFdTbCreate" localSheetId="8">#REF!</definedName>
    <definedName name="RgFdTbCreate">#REF!</definedName>
    <definedName name="RgFdTbEper" localSheetId="1">#REF!</definedName>
    <definedName name="RgFdTbEper" localSheetId="8">#REF!</definedName>
    <definedName name="RgFdTbEper">#REF!</definedName>
    <definedName name="RGFdTbFoot" localSheetId="1">#REF!</definedName>
    <definedName name="RGFdTbFoot" localSheetId="8">#REF!</definedName>
    <definedName name="RGFdTbFoot">#REF!</definedName>
    <definedName name="RgFdTbFreq" localSheetId="1">#REF!</definedName>
    <definedName name="RgFdTbFreq" localSheetId="8">#REF!</definedName>
    <definedName name="RgFdTbFreq">#REF!</definedName>
    <definedName name="RgFdTbFreqVal" localSheetId="1">#REF!</definedName>
    <definedName name="RgFdTbFreqVal" localSheetId="8">#REF!</definedName>
    <definedName name="RgFdTbFreqVal">#REF!</definedName>
    <definedName name="RgFdTbSendto" localSheetId="1">#REF!</definedName>
    <definedName name="RgFdTbSendto" localSheetId="8">#REF!</definedName>
    <definedName name="RgFdTbSendto">#REF!</definedName>
    <definedName name="RgFdWgtMethod" localSheetId="1">#REF!</definedName>
    <definedName name="RgFdWgtMethod" localSheetId="8">#REF!</definedName>
    <definedName name="RgFdWgtMethod">#REF!</definedName>
    <definedName name="RGSPA" localSheetId="1">#REF!</definedName>
    <definedName name="RGSPA" localSheetId="8">#REF!</definedName>
    <definedName name="RGSPA">#REF!</definedName>
    <definedName name="rinfinpriv" localSheetId="1">#REF!</definedName>
    <definedName name="rinfinpriv" localSheetId="8">#REF!</definedName>
    <definedName name="rinfinpriv">#REF!</definedName>
    <definedName name="RIQFIN" localSheetId="1">#REF!</definedName>
    <definedName name="RIQFIN" localSheetId="8">#REF!</definedName>
    <definedName name="RIQFIN">#REF!</definedName>
    <definedName name="RNGNM" localSheetId="1">#REF!</definedName>
    <definedName name="RNGNM" localSheetId="8">#REF!</definedName>
    <definedName name="RNGNM">#REF!</definedName>
    <definedName name="rPOil" localSheetId="1">#REF!,#REF!,#REF!</definedName>
    <definedName name="rPOil" localSheetId="14">#REF!,#REF!,#REF!</definedName>
    <definedName name="rPOil" localSheetId="8">#REF!,#REF!,#REF!</definedName>
    <definedName name="rPOil">#REF!,#REF!,#REF!</definedName>
    <definedName name="rqeerwe" localSheetId="1">#REF!</definedName>
    <definedName name="rqeerwe" localSheetId="14">#REF!</definedName>
    <definedName name="rqeerwe" localSheetId="8">#REF!</definedName>
    <definedName name="rqeerwe">#REF!</definedName>
    <definedName name="rr" localSheetId="14" hidden="1">{"Riqfin97",#N/A,FALSE,"Tran";"Riqfinpro",#N/A,FALSE,"Tran"}</definedName>
    <definedName name="rr" hidden="1">{"Riqfin97",#N/A,FALSE,"Tran";"Riqfinpro",#N/A,FALSE,"Tran"}</definedName>
    <definedName name="rrr" localSheetId="14" hidden="1">{"Riqfin97",#N/A,FALSE,"Tran";"Riqfinpro",#N/A,FALSE,"Tran"}</definedName>
    <definedName name="rrr" hidden="1">{"Riqfin97",#N/A,FALSE,"Tran";"Riqfinpro",#N/A,FALSE,"Tran"}</definedName>
    <definedName name="rrrr" localSheetId="14" hidden="1">{#N/A,#N/A,FALSE,"slvsrtb1";#N/A,#N/A,FALSE,"slvsrtb2";#N/A,#N/A,FALSE,"slvsrtb3";#N/A,#N/A,FALSE,"slvsrtb4";#N/A,#N/A,FALSE,"slvsrtb5";#N/A,#N/A,FALSE,"slvsrtb6";#N/A,#N/A,FALSE,"slvsrtb7";#N/A,#N/A,FALSE,"slvsrtb8";#N/A,#N/A,FALSE,"slvsrtb9";#N/A,#N/A,FALSE,"slvsrtb10";#N/A,#N/A,FALSE,"slvsrtb12"}</definedName>
    <definedName name="rrrr" hidden="1">{#N/A,#N/A,FALSE,"slvsrtb1";#N/A,#N/A,FALSE,"slvsrtb2";#N/A,#N/A,FALSE,"slvsrtb3";#N/A,#N/A,FALSE,"slvsrtb4";#N/A,#N/A,FALSE,"slvsrtb5";#N/A,#N/A,FALSE,"slvsrtb6";#N/A,#N/A,FALSE,"slvsrtb7";#N/A,#N/A,FALSE,"slvsrtb8";#N/A,#N/A,FALSE,"slvsrtb9";#N/A,#N/A,FALSE,"slvsrtb10";#N/A,#N/A,FALSE,"slvsrtb12"}</definedName>
    <definedName name="rrrrrr" localSheetId="14" hidden="1">{"Tab1",#N/A,FALSE,"P";"Tab2",#N/A,FALSE,"P"}</definedName>
    <definedName name="rrrrrr" hidden="1">{"Tab1",#N/A,FALSE,"P";"Tab2",#N/A,FALSE,"P"}</definedName>
    <definedName name="rrrrrrr" localSheetId="14" hidden="1">{"Tab1",#N/A,FALSE,"P";"Tab2",#N/A,FALSE,"P"}</definedName>
    <definedName name="rrrrrrr" hidden="1">{"Tab1",#N/A,FALSE,"P";"Tab2",#N/A,FALSE,"P"}</definedName>
    <definedName name="RRRRRRRRR" localSheetId="1">#REF!</definedName>
    <definedName name="RRRRRRRRR" localSheetId="14">#REF!</definedName>
    <definedName name="RRRRRRRRR" localSheetId="8">#REF!</definedName>
    <definedName name="RRRRRRRRR">#REF!</definedName>
    <definedName name="rrrrrrrrrrrrr" localSheetId="14" hidden="1">{"Tab1",#N/A,FALSE,"P";"Tab2",#N/A,FALSE,"P"}</definedName>
    <definedName name="rrrrrrrrrrrrr" hidden="1">{"Tab1",#N/A,FALSE,"P";"Tab2",#N/A,FALSE,"P"}</definedName>
    <definedName name="rs" localSheetId="14"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t" localSheetId="14" hidden="1">{"Minpmon",#N/A,FALSE,"Monthinput"}</definedName>
    <definedName name="rt" hidden="1">{"Minpmon",#N/A,FALSE,"Monthinput"}</definedName>
    <definedName name="rte" localSheetId="14" hidden="1">{"Riqfin97",#N/A,FALSE,"Tran";"Riqfinpro",#N/A,FALSE,"Tran"}</definedName>
    <definedName name="rte" hidden="1">{"Riqfin97",#N/A,FALSE,"Tran";"Riqfinpro",#N/A,FALSE,"Tran"}</definedName>
    <definedName name="RTERHTR" localSheetId="1" hidden="1">'[99]Operac. spnf'!#REF!</definedName>
    <definedName name="RTERHTR" localSheetId="8" hidden="1">'[99]Operac. spnf'!#REF!</definedName>
    <definedName name="RTERHTR" hidden="1">'[99]Operac. spnf'!#REF!</definedName>
    <definedName name="rtr" localSheetId="14" hidden="1">{"Main Economic Indicators",#N/A,FALSE,"C"}</definedName>
    <definedName name="rtr" hidden="1">{"Main Economic Indicators",#N/A,FALSE,"C"}</definedName>
    <definedName name="rtre" localSheetId="14" hidden="1">{"Main Economic Indicators",#N/A,FALSE,"C"}</definedName>
    <definedName name="rtre" hidden="1">{"Main Economic Indicators",#N/A,FALSE,"C"}</definedName>
    <definedName name="rty" localSheetId="14" hidden="1">{"Riqfin97",#N/A,FALSE,"Tran";"Riqfinpro",#N/A,FALSE,"Tran"}</definedName>
    <definedName name="rty" hidden="1">{"Riqfin97",#N/A,FALSE,"Tran";"Riqfinpro",#N/A,FALSE,"Tran"}</definedName>
    <definedName name="RUTA" localSheetId="1">'[5]Prog-2011'!#REF!</definedName>
    <definedName name="RUTA" localSheetId="8">'[5]Prog-2011'!#REF!</definedName>
    <definedName name="RUTA">'[5]Prog-2011'!#REF!</definedName>
    <definedName name="S">[33]C!$A$5:$P$93</definedName>
    <definedName name="SA" localSheetId="1">#REF!</definedName>
    <definedName name="SA" localSheetId="14">#REF!</definedName>
    <definedName name="SA" localSheetId="8">#REF!</definedName>
    <definedName name="SA">#REF!</definedName>
    <definedName name="sad" localSheetId="14" hidden="1">{"Riqfin97",#N/A,FALSE,"Tran";"Riqfinpro",#N/A,FALSE,"Tran"}</definedName>
    <definedName name="sad" hidden="1">{"Riqfin97",#N/A,FALSE,"Tran";"Riqfinpro",#N/A,FALSE,"Tran"}</definedName>
    <definedName name="SAF" localSheetId="1">#REF!</definedName>
    <definedName name="SAF" localSheetId="14">#REF!</definedName>
    <definedName name="SAF" localSheetId="8">#REF!</definedName>
    <definedName name="SAF">#REF!</definedName>
    <definedName name="SALIR">'[3]PAG-28'!$BZ$6</definedName>
    <definedName name="SAS" localSheetId="1">#REF!</definedName>
    <definedName name="SAS" localSheetId="14">#REF!</definedName>
    <definedName name="SAS" localSheetId="8">#REF!</definedName>
    <definedName name="SAS">#REF!</definedName>
    <definedName name="sasa" localSheetId="1">#REF!</definedName>
    <definedName name="sasa" localSheetId="14">#REF!</definedName>
    <definedName name="sasa" localSheetId="8">#REF!</definedName>
    <definedName name="sasa">#REF!</definedName>
    <definedName name="Sched_Pay" localSheetId="1">#REF!</definedName>
    <definedName name="Sched_Pay" localSheetId="14">#REF!</definedName>
    <definedName name="Sched_Pay" localSheetId="8">#REF!</definedName>
    <definedName name="Sched_Pay">#REF!</definedName>
    <definedName name="Scheduled_Extra_Payments" localSheetId="1">#REF!</definedName>
    <definedName name="Scheduled_Extra_Payments" localSheetId="8">#REF!</definedName>
    <definedName name="Scheduled_Extra_Payments">#REF!</definedName>
    <definedName name="Scheduled_Interest_Rate" localSheetId="1">#REF!</definedName>
    <definedName name="Scheduled_Interest_Rate" localSheetId="8">#REF!</definedName>
    <definedName name="Scheduled_Interest_Rate">#REF!</definedName>
    <definedName name="Scheduled_Monthly_Payment" localSheetId="1">#REF!</definedName>
    <definedName name="Scheduled_Monthly_Payment" localSheetId="8">#REF!</definedName>
    <definedName name="Scheduled_Monthly_Payment">#REF!</definedName>
    <definedName name="SCR" localSheetId="1">#REF!</definedName>
    <definedName name="SCR" localSheetId="8">#REF!</definedName>
    <definedName name="SCR">#REF!</definedName>
    <definedName name="SCZ" localSheetId="1">#REF!</definedName>
    <definedName name="SCZ" localSheetId="8">#REF!</definedName>
    <definedName name="SCZ">#REF!</definedName>
    <definedName name="sddf" localSheetId="1" hidden="1">#REF!</definedName>
    <definedName name="sddf" localSheetId="8" hidden="1">#REF!</definedName>
    <definedName name="sddf" hidden="1">#REF!</definedName>
    <definedName name="sdfdf" localSheetId="1" hidden="1">'[100]Operac. spnf'!#REF!</definedName>
    <definedName name="sdfdf" localSheetId="8" hidden="1">'[100]Operac. spnf'!#REF!</definedName>
    <definedName name="sdfdf" hidden="1">'[100]Operac. spnf'!#REF!</definedName>
    <definedName name="sdfdffg" localSheetId="1">#REF!</definedName>
    <definedName name="sdfdffg" localSheetId="14">#REF!</definedName>
    <definedName name="sdfdffg" localSheetId="8">#REF!</definedName>
    <definedName name="sdfdffg">#REF!</definedName>
    <definedName name="sdfgsdfgsfg" localSheetId="1">#REF!</definedName>
    <definedName name="sdfgsdfgsfg" localSheetId="14">#REF!</definedName>
    <definedName name="sdfgsdfgsfg" localSheetId="8">#REF!</definedName>
    <definedName name="sdfgsdfgsfg">#REF!</definedName>
    <definedName name="sdhighaoidfj" localSheetId="14" hidden="1">{"macro",#N/A,FALSE,"Macro";"smq2",#N/A,FALSE,"Data";"smq3",#N/A,FALSE,"Data";"smq4",#N/A,FALSE,"Data";"smq5",#N/A,FALSE,"Data";"smq6",#N/A,FALSE,"Data";"smq7",#N/A,FALSE,"Data";"smq8",#N/A,FALSE,"Data";"smq9",#N/A,FALSE,"Data"}</definedName>
    <definedName name="sdhighaoidfj" hidden="1">{"macro",#N/A,FALSE,"Macro";"smq2",#N/A,FALSE,"Data";"smq3",#N/A,FALSE,"Data";"smq4",#N/A,FALSE,"Data";"smq5",#N/A,FALSE,"Data";"smq6",#N/A,FALSE,"Data";"smq7",#N/A,FALSE,"Data";"smq8",#N/A,FALSE,"Data";"smq9",#N/A,FALSE,"Data"}</definedName>
    <definedName name="sdlifjwerf" localSheetId="14" hidden="1">{"macro",#N/A,FALSE,"Macro";"smq2",#N/A,FALSE,"Data";"smq3",#N/A,FALSE,"Data";"smq4",#N/A,FALSE,"Data";"smq5",#N/A,FALSE,"Data";"smq6",#N/A,FALSE,"Data";"smq7",#N/A,FALSE,"Data";"smq8",#N/A,FALSE,"Data";"smq9",#N/A,FALSE,"Data"}</definedName>
    <definedName name="sdlifjwerf" hidden="1">{"macro",#N/A,FALSE,"Macro";"smq2",#N/A,FALSE,"Data";"smq3",#N/A,FALSE,"Data";"smq4",#N/A,FALSE,"Data";"smq5",#N/A,FALSE,"Data";"smq6",#N/A,FALSE,"Data";"smq7",#N/A,FALSE,"Data";"smq8",#N/A,FALSE,"Data";"smq9",#N/A,FALSE,"Data"}</definedName>
    <definedName name="sdr" localSheetId="14" hidden="1">{"Riqfin97",#N/A,FALSE,"Tran";"Riqfinpro",#N/A,FALSE,"Tran"}</definedName>
    <definedName name="sdr" hidden="1">{"Riqfin97",#N/A,FALSE,"Tran";"Riqfinpro",#N/A,FALSE,"Tran"}</definedName>
    <definedName name="SDS" localSheetId="1">#REF!</definedName>
    <definedName name="SDS" localSheetId="14">#REF!</definedName>
    <definedName name="SDS" localSheetId="8">#REF!</definedName>
    <definedName name="SDS">#REF!</definedName>
    <definedName name="sdsd" localSheetId="14" hidden="1">{"Riqfin97",#N/A,FALSE,"Tran";"Riqfinpro",#N/A,FALSE,"Tran"}</definedName>
    <definedName name="sdsd" hidden="1">{"Riqfin97",#N/A,FALSE,"Tran";"Riqfinpro",#N/A,FALSE,"Tran"}</definedName>
    <definedName name="SDVXXFTH" localSheetId="1">#REF!</definedName>
    <definedName name="SDVXXFTH" localSheetId="14">#REF!</definedName>
    <definedName name="SDVXXFTH" localSheetId="8">#REF!</definedName>
    <definedName name="SDVXXFTH">#REF!</definedName>
    <definedName name="SECIND" localSheetId="1">#REF!</definedName>
    <definedName name="SECIND" localSheetId="14">#REF!</definedName>
    <definedName name="SECIND" localSheetId="8">#REF!</definedName>
    <definedName name="SECIND">#REF!</definedName>
    <definedName name="SECTORES" localSheetId="1">[93]SPNF!#REF!</definedName>
    <definedName name="SECTORES" localSheetId="14">[93]SPNF!#REF!</definedName>
    <definedName name="SECTORES" localSheetId="8">[93]SPNF!#REF!</definedName>
    <definedName name="SECTORES">[93]SPNF!#REF!</definedName>
    <definedName name="SECTORS" localSheetId="1">#REF!</definedName>
    <definedName name="SECTORS" localSheetId="14">#REF!</definedName>
    <definedName name="SECTORS" localSheetId="8">#REF!</definedName>
    <definedName name="SECTORS">#REF!</definedName>
    <definedName name="SegundoTRIM" localSheetId="1">#REF!</definedName>
    <definedName name="SegundoTRIM" localSheetId="14">#REF!</definedName>
    <definedName name="SegundoTRIM" localSheetId="8">#REF!</definedName>
    <definedName name="SegundoTRIM">#REF!</definedName>
    <definedName name="Selected_Economic_and_Financial_Indicators" localSheetId="1">#REF!</definedName>
    <definedName name="Selected_Economic_and_Financial_Indicators" localSheetId="14">#REF!</definedName>
    <definedName name="Selected_Economic_and_Financial_Indicators" localSheetId="8">#REF!</definedName>
    <definedName name="Selected_Economic_and_Financial_Indicators">#REF!</definedName>
    <definedName name="sencount" hidden="1">2</definedName>
    <definedName name="Sensitivity_Graph">[57]Sensitivity!$D$21:$L$54</definedName>
    <definedName name="sensitivity00">[53]Booktables!$BI$1373:$BK$1429</definedName>
    <definedName name="sensitivity01">[54]Booktables!$BM$1373:$BO$1429</definedName>
    <definedName name="sensitivity02">[54]Booktables!$BQ$1373:$BS$1429</definedName>
    <definedName name="sensitivity03">[54]Booktables!$BU$1373:$BW$1429</definedName>
    <definedName name="sensitivity04">[54]Booktables!$BY$1373:$CA$1429</definedName>
    <definedName name="sensitivity05">[54]Booktables!$CC$1373:$CE$1429</definedName>
    <definedName name="sensitivity06">[54]Booktables!$CG$1373:$CI$1429</definedName>
    <definedName name="sensitivity07">[54]Booktables!$CK$1373:$CM$1429</definedName>
    <definedName name="sensitivity08">[54]Booktables!$CO$1373:$CQ$1429</definedName>
    <definedName name="sensitivity09">[54]Booktables!$CS$1373:$CU$1429</definedName>
    <definedName name="sensitivity10">[54]Booktables!$CW$1373:$CY$1429</definedName>
    <definedName name="sensitivity11">[54]Booktables!$DA$1373:$DC$1429</definedName>
    <definedName name="sensitivity12">[54]Booktables!$DE$1373:$DG$1429</definedName>
    <definedName name="ser" localSheetId="14" hidden="1">{"Riqfin97",#N/A,FALSE,"Tran";"Riqfinpro",#N/A,FALSE,"Tran"}</definedName>
    <definedName name="ser" hidden="1">{"Riqfin97",#N/A,FALSE,"Tran";"Riqfinpro",#N/A,FALSE,"Tran"}</definedName>
    <definedName name="sfgsf" localSheetId="1">#REF!</definedName>
    <definedName name="sfgsf" localSheetId="14">#REF!</definedName>
    <definedName name="sfgsf" localSheetId="8">#REF!</definedName>
    <definedName name="sfgsf">#REF!</definedName>
    <definedName name="SHEET_A._Contents_and_file_description" localSheetId="1">#REF!</definedName>
    <definedName name="SHEET_A._Contents_and_file_description" localSheetId="14">#REF!</definedName>
    <definedName name="SHEET_A._Contents_and_file_description" localSheetId="8">#REF!</definedName>
    <definedName name="SHEET_A._Contents_and_file_description">#REF!</definedName>
    <definedName name="SHEET_B._DATA_FROM_TO_OTHER_FILES" localSheetId="1">#REF!</definedName>
    <definedName name="SHEET_B._DATA_FROM_TO_OTHER_FILES" localSheetId="14">#REF!</definedName>
    <definedName name="SHEET_B._DATA_FROM_TO_OTHER_FILES" localSheetId="8">#REF!</definedName>
    <definedName name="SHEET_B._DATA_FROM_TO_OTHER_FILES">#REF!</definedName>
    <definedName name="SHEET_C._RAW_DATA1" localSheetId="1">#REF!</definedName>
    <definedName name="SHEET_C._RAW_DATA1" localSheetId="8">#REF!</definedName>
    <definedName name="SHEET_C._RAW_DATA1">#REF!</definedName>
    <definedName name="SHEET_C._RAW_DATA2" localSheetId="1">#REF!</definedName>
    <definedName name="SHEET_C._RAW_DATA2" localSheetId="8">#REF!</definedName>
    <definedName name="SHEET_C._RAW_DATA2">#REF!</definedName>
    <definedName name="SHEET_D._DATA_TRANSFORMATIONS" localSheetId="1">#REF!</definedName>
    <definedName name="SHEET_D._DATA_TRANSFORMATIONS" localSheetId="8">#REF!</definedName>
    <definedName name="SHEET_D._DATA_TRANSFORMATIONS">#REF!</definedName>
    <definedName name="SHEET_E._FINAL_TABLES" localSheetId="1">#REF!</definedName>
    <definedName name="SHEET_E._FINAL_TABLES" localSheetId="8">#REF!</definedName>
    <definedName name="SHEET_E._FINAL_TABLES">#REF!</definedName>
    <definedName name="si" localSheetId="1" hidden="1">#REF!</definedName>
    <definedName name="si" localSheetId="8" hidden="1">#REF!</definedName>
    <definedName name="si" hidden="1">#REF!</definedName>
    <definedName name="SIDXGOB">'[62]SFISCAL-MOD'!$A$146:$IV$146</definedName>
    <definedName name="sii" localSheetId="1">#REF!</definedName>
    <definedName name="sii" localSheetId="14">#REF!</definedName>
    <definedName name="sii" localSheetId="8">#REF!</definedName>
    <definedName name="sii">#REF!</definedName>
    <definedName name="sisfin2" localSheetId="1">#REF!</definedName>
    <definedName name="sisfin2" localSheetId="14">#REF!</definedName>
    <definedName name="sisfin2" localSheetId="8">#REF!</definedName>
    <definedName name="sisfin2">#REF!</definedName>
    <definedName name="SISTEMA_BANCARIO_NACIONAL" localSheetId="1">#REF!</definedName>
    <definedName name="SISTEMA_BANCARIO_NACIONAL" localSheetId="14">#REF!</definedName>
    <definedName name="SISTEMA_BANCARIO_NACIONAL" localSheetId="8">#REF!</definedName>
    <definedName name="SISTEMA_BANCARIO_NACIONAL">#REF!</definedName>
    <definedName name="SNQ" localSheetId="1">#REF!</definedName>
    <definedName name="SNQ" localSheetId="8">#REF!</definedName>
    <definedName name="SNQ">#REF!</definedName>
    <definedName name="solver_lin" hidden="1">0</definedName>
    <definedName name="solver_num" hidden="1">0</definedName>
    <definedName name="solver_typ" hidden="1">1</definedName>
    <definedName name="solver_val" hidden="1">0</definedName>
    <definedName name="SOURCES" localSheetId="1">#REF!</definedName>
    <definedName name="SOURCES" localSheetId="8">#REF!</definedName>
    <definedName name="SOURCES">#REF!</definedName>
    <definedName name="SOYA1" localSheetId="1">#REF!</definedName>
    <definedName name="SOYA1" localSheetId="8">#REF!</definedName>
    <definedName name="SOYA1">#REF!</definedName>
    <definedName name="SPANUAL" localSheetId="1">'[5]Prog-2011'!#REF!</definedName>
    <definedName name="SPANUAL" localSheetId="8">'[5]Prog-2011'!#REF!</definedName>
    <definedName name="SPANUAL">'[5]Prog-2011'!#REF!</definedName>
    <definedName name="SPANUALPIB" localSheetId="1">'[5]Prog-2011'!#REF!</definedName>
    <definedName name="SPANUALPIB" localSheetId="8">'[5]Prog-2011'!#REF!</definedName>
    <definedName name="SPANUALPIB">'[5]Prog-2011'!#REF!</definedName>
    <definedName name="SRQ" localSheetId="1">#REF!</definedName>
    <definedName name="SRQ" localSheetId="14">#REF!</definedName>
    <definedName name="SRQ" localSheetId="8">#REF!</definedName>
    <definedName name="SRQ">#REF!</definedName>
    <definedName name="SS">#N/A</definedName>
    <definedName name="SS_Credito_externo" localSheetId="1">[88]GobGen!#REF!</definedName>
    <definedName name="SS_Credito_externo" localSheetId="8">[88]GobGen!#REF!</definedName>
    <definedName name="SS_Credito_externo">[88]GobGen!#REF!</definedName>
    <definedName name="SS_Credito_Interno" localSheetId="1">[88]GobGen!#REF!</definedName>
    <definedName name="SS_Credito_Interno" localSheetId="8">[88]GobGen!#REF!</definedName>
    <definedName name="SS_Credito_Interno">[88]GobGen!#REF!</definedName>
    <definedName name="SS_Superavit" localSheetId="1">[88]GobGen!#REF!</definedName>
    <definedName name="SS_Superavit" localSheetId="8">[88]GobGen!#REF!</definedName>
    <definedName name="SS_Superavit">[88]GobGen!#REF!</definedName>
    <definedName name="sss" localSheetId="1">#REF!</definedName>
    <definedName name="sss" localSheetId="14">#REF!</definedName>
    <definedName name="sss" localSheetId="8">#REF!</definedName>
    <definedName name="sss">#REF!</definedName>
    <definedName name="SSSS" localSheetId="1">#REF!</definedName>
    <definedName name="SSSS" localSheetId="14">#REF!</definedName>
    <definedName name="SSSS" localSheetId="8">#REF!</definedName>
    <definedName name="SSSS">#REF!</definedName>
    <definedName name="sssss" localSheetId="1" hidden="1">'[68]Eje 2004'!#REF!</definedName>
    <definedName name="sssss" localSheetId="14" hidden="1">'[68]Eje 2004'!#REF!</definedName>
    <definedName name="sssss" localSheetId="8" hidden="1">'[68]Eje 2004'!#REF!</definedName>
    <definedName name="sssss" hidden="1">'[68]Eje 2004'!#REF!</definedName>
    <definedName name="ssssss" localSheetId="1" hidden="1">[101]Retroactivos!#REF!</definedName>
    <definedName name="ssssss" localSheetId="14" hidden="1">[101]Retroactivos!#REF!</definedName>
    <definedName name="ssssss" localSheetId="8" hidden="1">[101]Retroactivos!#REF!</definedName>
    <definedName name="ssssss" hidden="1">[101]Retroactivos!#REF!</definedName>
    <definedName name="SSSSSSS" localSheetId="1">#REF!</definedName>
    <definedName name="SSSSSSS" localSheetId="14">#REF!</definedName>
    <definedName name="SSSSSSS" localSheetId="8">#REF!</definedName>
    <definedName name="SSSSSSS">#REF!</definedName>
    <definedName name="SSSSSSSSSS" localSheetId="1">#REF!</definedName>
    <definedName name="SSSSSSSSSS" localSheetId="14">#REF!</definedName>
    <definedName name="SSSSSSSSSS" localSheetId="8">#REF!</definedName>
    <definedName name="SSSSSSSSSS">#REF!</definedName>
    <definedName name="Staff_Report_table" localSheetId="1">#REF!</definedName>
    <definedName name="Staff_Report_table" localSheetId="14">#REF!</definedName>
    <definedName name="Staff_Report_table" localSheetId="8">#REF!</definedName>
    <definedName name="Staff_Report_table">#REF!</definedName>
    <definedName name="stock" localSheetId="1">#REF!</definedName>
    <definedName name="stock" localSheetId="8">#REF!</definedName>
    <definedName name="stock">#REF!</definedName>
    <definedName name="STOCKS" localSheetId="1">[6]A!#REF!</definedName>
    <definedName name="STOCKS" localSheetId="8">[6]A!#REF!</definedName>
    <definedName name="STOCKS">[6]A!#REF!</definedName>
    <definedName name="STOP" localSheetId="1">#REF!</definedName>
    <definedName name="STOP" localSheetId="14">#REF!</definedName>
    <definedName name="STOP" localSheetId="8">#REF!</definedName>
    <definedName name="STOP">#REF!</definedName>
    <definedName name="Subsidiarias_Impuesto_Varios" localSheetId="1">#REF!</definedName>
    <definedName name="Subsidiarias_Impuesto_Varios" localSheetId="14">#REF!</definedName>
    <definedName name="Subsidiarias_Impuesto_Varios" localSheetId="8">#REF!</definedName>
    <definedName name="Subsidiarias_Impuesto_Varios">#REF!</definedName>
    <definedName name="Subvención_GLP_Empresas_Privadas" localSheetId="1">#REF!</definedName>
    <definedName name="Subvención_GLP_Empresas_Privadas" localSheetId="14">#REF!</definedName>
    <definedName name="Subvención_GLP_Empresas_Privadas" localSheetId="8">#REF!</definedName>
    <definedName name="Subvención_GLP_Empresas_Privadas">#REF!</definedName>
    <definedName name="Subvención_GLP_Engarrafadoras" localSheetId="1">#REF!</definedName>
    <definedName name="Subvención_GLP_Engarrafadoras" localSheetId="8">#REF!</definedName>
    <definedName name="Subvención_GLP_Engarrafadoras">#REF!</definedName>
    <definedName name="SUMGDP" localSheetId="1">[81]NA!#REF!</definedName>
    <definedName name="SUMGDP" localSheetId="8">[81]NA!#REF!</definedName>
    <definedName name="SUMGDP">[81]NA!#REF!</definedName>
    <definedName name="Summary_Accounts_SR_table" localSheetId="1">#REF!</definedName>
    <definedName name="Summary_Accounts_SR_table" localSheetId="14">#REF!</definedName>
    <definedName name="Summary_Accounts_SR_table" localSheetId="8">#REF!</definedName>
    <definedName name="Summary_Accounts_SR_table">#REF!</definedName>
    <definedName name="SUMTAB">[102]CPI:NA!$A$272:$R$990</definedName>
    <definedName name="Supply_table" localSheetId="1">#REF!</definedName>
    <definedName name="Supply_table" localSheetId="14">#REF!</definedName>
    <definedName name="Supply_table" localSheetId="8">#REF!</definedName>
    <definedName name="Supply_table">#REF!</definedName>
    <definedName name="supuestos" localSheetId="1">#REF!</definedName>
    <definedName name="supuestos" localSheetId="14">#REF!</definedName>
    <definedName name="supuestos" localSheetId="8">#REF!</definedName>
    <definedName name="supuestos">#REF!</definedName>
    <definedName name="SW" localSheetId="1">'[5]Prog-2011'!#REF!</definedName>
    <definedName name="SW" localSheetId="14">'[5]Prog-2011'!#REF!</definedName>
    <definedName name="SW" localSheetId="8">'[5]Prog-2011'!#REF!</definedName>
    <definedName name="SW">'[5]Prog-2011'!#REF!</definedName>
    <definedName name="swe" localSheetId="14" hidden="1">{"Tab1",#N/A,FALSE,"P";"Tab2",#N/A,FALSE,"P"}</definedName>
    <definedName name="swe" hidden="1">{"Tab1",#N/A,FALSE,"P";"Tab2",#N/A,FALSE,"P"}</definedName>
    <definedName name="sxc" localSheetId="14" hidden="1">{"Riqfin97",#N/A,FALSE,"Tran";"Riqfinpro",#N/A,FALSE,"Tran"}</definedName>
    <definedName name="sxc" hidden="1">{"Riqfin97",#N/A,FALSE,"Tran";"Riqfinpro",#N/A,FALSE,"Tran"}</definedName>
    <definedName name="sxe" localSheetId="14" hidden="1">{"Riqfin97",#N/A,FALSE,"Tran";"Riqfinpro",#N/A,FALSE,"Tran"}</definedName>
    <definedName name="sxe" hidden="1">{"Riqfin97",#N/A,FALSE,"Tran";"Riqfinpro",#N/A,FALSE,"Tran"}</definedName>
    <definedName name="t" localSheetId="14" hidden="1">{"Minpmon",#N/A,FALSE,"Monthinput"}</definedName>
    <definedName name="t" hidden="1">{"Minpmon",#N/A,FALSE,"Monthinput"}</definedName>
    <definedName name="T__C" localSheetId="1">#REF!</definedName>
    <definedName name="T__C" localSheetId="14">#REF!</definedName>
    <definedName name="T__C" localSheetId="8">#REF!</definedName>
    <definedName name="T__C">#REF!</definedName>
    <definedName name="t4wh" localSheetId="14" hidden="1">{#N/A,#N/A,FALSE,"EMP_POP";#N/A,#N/A,FALSE,"UNEMPL"}</definedName>
    <definedName name="t4wh" hidden="1">{#N/A,#N/A,FALSE,"EMP_POP";#N/A,#N/A,FALSE,"UNEMPL"}</definedName>
    <definedName name="TAB1A" localSheetId="1">#REF!</definedName>
    <definedName name="TAB1A" localSheetId="14">#REF!</definedName>
    <definedName name="TAB1A" localSheetId="8">#REF!</definedName>
    <definedName name="TAB1A">#REF!</definedName>
    <definedName name="TAB1CK" localSheetId="1">#REF!</definedName>
    <definedName name="TAB1CK" localSheetId="14">#REF!</definedName>
    <definedName name="TAB1CK" localSheetId="8">#REF!</definedName>
    <definedName name="TAB1CK">#REF!</definedName>
    <definedName name="Tab21new">'[103]Gov-20'!$A$1</definedName>
    <definedName name="Tab25a" localSheetId="1">#REF!</definedName>
    <definedName name="Tab25a" localSheetId="14">#REF!</definedName>
    <definedName name="Tab25a" localSheetId="8">#REF!</definedName>
    <definedName name="Tab25a">#REF!</definedName>
    <definedName name="Tab25b" localSheetId="1">#REF!</definedName>
    <definedName name="Tab25b" localSheetId="14">#REF!</definedName>
    <definedName name="Tab25b" localSheetId="8">#REF!</definedName>
    <definedName name="Tab25b">#REF!</definedName>
    <definedName name="TAB2A" localSheetId="1">#REF!</definedName>
    <definedName name="TAB2A" localSheetId="14">#REF!</definedName>
    <definedName name="TAB2A" localSheetId="8">#REF!</definedName>
    <definedName name="TAB2A">#REF!</definedName>
    <definedName name="TAB5A" localSheetId="1">#REF!</definedName>
    <definedName name="TAB5A" localSheetId="8">#REF!</definedName>
    <definedName name="TAB5A">#REF!</definedName>
    <definedName name="TAB6A" localSheetId="1">'[30]Annual Tables'!#REF!</definedName>
    <definedName name="TAB6A" localSheetId="8">'[30]Annual Tables'!#REF!</definedName>
    <definedName name="TAB6A">'[30]Annual Tables'!#REF!</definedName>
    <definedName name="TAB6B" localSheetId="1">'[30]Annual Tables'!#REF!</definedName>
    <definedName name="TAB6B" localSheetId="8">'[30]Annual Tables'!#REF!</definedName>
    <definedName name="TAB6B">'[30]Annual Tables'!#REF!</definedName>
    <definedName name="TAB6C" localSheetId="1">#REF!</definedName>
    <definedName name="TAB6C" localSheetId="14">#REF!</definedName>
    <definedName name="TAB6C" localSheetId="8">#REF!</definedName>
    <definedName name="TAB6C">#REF!</definedName>
    <definedName name="TAB7A" localSheetId="1">#REF!</definedName>
    <definedName name="TAB7A" localSheetId="14">#REF!</definedName>
    <definedName name="TAB7A" localSheetId="8">#REF!</definedName>
    <definedName name="TAB7A">#REF!</definedName>
    <definedName name="TABCUM" localSheetId="1">#REF!</definedName>
    <definedName name="TABCUM" localSheetId="14">#REF!</definedName>
    <definedName name="TABCUM" localSheetId="8">#REF!</definedName>
    <definedName name="TABCUM">#REF!</definedName>
    <definedName name="TabD1" localSheetId="1">[104]IMF!#REF!</definedName>
    <definedName name="TabD1" localSheetId="14">[104]IMF!#REF!</definedName>
    <definedName name="TabD1" localSheetId="8">[104]IMF!#REF!</definedName>
    <definedName name="TabD1">[104]IMF!#REF!</definedName>
    <definedName name="TabD2" localSheetId="1">'[104]IMF %GDP'!#REF!</definedName>
    <definedName name="TabD2" localSheetId="14">'[104]IMF %GDP'!#REF!</definedName>
    <definedName name="TabD2" localSheetId="8">'[104]IMF %GDP'!#REF!</definedName>
    <definedName name="TabD2">'[104]IMF %GDP'!#REF!</definedName>
    <definedName name="Table" localSheetId="1">#REF!</definedName>
    <definedName name="Table" localSheetId="14">#REF!</definedName>
    <definedName name="Table" localSheetId="8">#REF!</definedName>
    <definedName name="Table">#REF!</definedName>
    <definedName name="Table__47">[105]RED47!$A$1:$I$53</definedName>
    <definedName name="Table_1._Bolivia__Financial_Benchmarks_and_Performance_Criteria" localSheetId="1">#REF!</definedName>
    <definedName name="Table_1._Bolivia__Financial_Benchmarks_and_Performance_Criteria" localSheetId="14">#REF!</definedName>
    <definedName name="Table_1._Bolivia__Financial_Benchmarks_and_Performance_Criteria" localSheetId="8">#REF!</definedName>
    <definedName name="Table_1._Bolivia__Financial_Benchmarks_and_Performance_Criteria">#REF!</definedName>
    <definedName name="Table_16.__Guatemala__National_Accounts_at_Current_Prices" localSheetId="1">#REF!</definedName>
    <definedName name="Table_16.__Guatemala__National_Accounts_at_Current_Prices" localSheetId="14">#REF!</definedName>
    <definedName name="Table_16.__Guatemala__National_Accounts_at_Current_Prices" localSheetId="8">#REF!</definedName>
    <definedName name="Table_16.__Guatemala__National_Accounts_at_Current_Prices">#REF!</definedName>
    <definedName name="Table_2._Country_X___Public_Sector_Financing_1" localSheetId="1">#REF!</definedName>
    <definedName name="Table_2._Country_X___Public_Sector_Financing_1" localSheetId="14">#REF!</definedName>
    <definedName name="Table_2._Country_X___Public_Sector_Financing_1" localSheetId="8">#REF!</definedName>
    <definedName name="Table_2._Country_X___Public_Sector_Financing_1">#REF!</definedName>
    <definedName name="Table_20.cont__Guatemala___Selected_Agricultural_Sector_Statistics__concluded" localSheetId="1">#REF!</definedName>
    <definedName name="Table_20.cont__Guatemala___Selected_Agricultural_Sector_Statistics__concluded" localSheetId="8">#REF!</definedName>
    <definedName name="Table_20.cont__Guatemala___Selected_Agricultural_Sector_Statistics__concluded">#REF!</definedName>
    <definedName name="Table_28._Guatemala___Selected_Wage_Indicators_1" localSheetId="1">#REF!</definedName>
    <definedName name="Table_28._Guatemala___Selected_Wage_Indicators_1" localSheetId="8">#REF!</definedName>
    <definedName name="Table_28._Guatemala___Selected_Wage_Indicators_1">#REF!</definedName>
    <definedName name="Table_28a._Guatemala___Selected_Wage_Indicators_1" localSheetId="1">#REF!</definedName>
    <definedName name="Table_28a._Guatemala___Selected_Wage_Indicators_1" localSheetId="8">#REF!</definedName>
    <definedName name="Table_28a._Guatemala___Selected_Wage_Indicators_1">#REF!</definedName>
    <definedName name="Table_30a._Guatemala___Selected_Employment_and_Labor_Productivity_Indicators" localSheetId="1">#REF!</definedName>
    <definedName name="Table_30a._Guatemala___Selected_Employment_and_Labor_Productivity_Indicators" localSheetId="8">#REF!</definedName>
    <definedName name="Table_30a._Guatemala___Selected_Employment_and_Labor_Productivity_Indicators">#REF!</definedName>
    <definedName name="Table_31._Guatemala___Selected_Wage_and_Employment_Indicators_1" localSheetId="1">#REF!</definedName>
    <definedName name="Table_31._Guatemala___Selected_Wage_and_Employment_Indicators_1" localSheetId="8">#REF!</definedName>
    <definedName name="Table_31._Guatemala___Selected_Wage_and_Employment_Indicators_1">#REF!</definedName>
    <definedName name="Table_32.__Guatemala__Trends_in_Unit_Labor_Costs__ULC___Real_Wages__Productivity_and_Employment" localSheetId="1">#REF!</definedName>
    <definedName name="Table_32.__Guatemala__Trends_in_Unit_Labor_Costs__ULC___Real_Wages__Productivity_and_Employment" localSheetId="8">#REF!</definedName>
    <definedName name="Table_32.__Guatemala__Trends_in_Unit_Labor_Costs__ULC___Real_Wages__Productivity_and_Employment">#REF!</definedName>
    <definedName name="Table_33.__Guatemala__Indicators_of_Competitiveness" localSheetId="1">#REF!</definedName>
    <definedName name="Table_33.__Guatemala__Indicators_of_Competitiveness" localSheetId="8">#REF!</definedName>
    <definedName name="Table_33.__Guatemala__Indicators_of_Competitiveness">#REF!</definedName>
    <definedName name="Table_4._Guatemala___Consumer_Price_Indices__1" localSheetId="1">#REF!</definedName>
    <definedName name="Table_4._Guatemala___Consumer_Price_Indices__1" localSheetId="8">#REF!</definedName>
    <definedName name="Table_4._Guatemala___Consumer_Price_Indices__1">#REF!</definedName>
    <definedName name="Table_4SR" localSheetId="1">#REF!</definedName>
    <definedName name="Table_4SR" localSheetId="8">#REF!</definedName>
    <definedName name="Table_4SR">#REF!</definedName>
    <definedName name="Table_A.__Guatemala__Trends_in_Private_Sector_Unit_Labor_Costs__ULC___Real_Wages__Productivity_and_Employment" localSheetId="1">#REF!</definedName>
    <definedName name="Table_A.__Guatemala__Trends_in_Private_Sector_Unit_Labor_Costs__ULC___Real_Wages__Productivity_and_Employment" localSheetId="8">#REF!</definedName>
    <definedName name="Table_A.__Guatemala__Trends_in_Private_Sector_Unit_Labor_Costs__ULC___Real_Wages__Productivity_and_Employment">#REF!</definedName>
    <definedName name="table1" localSheetId="1">#REF!</definedName>
    <definedName name="table1" localSheetId="8">#REF!</definedName>
    <definedName name="table1">#REF!</definedName>
    <definedName name="Table2" localSheetId="1">#REF!</definedName>
    <definedName name="Table2" localSheetId="8">#REF!</definedName>
    <definedName name="Table2">#REF!</definedName>
    <definedName name="Table3" localSheetId="1">#REF!</definedName>
    <definedName name="Table3" localSheetId="8">#REF!</definedName>
    <definedName name="Table3">#REF!</definedName>
    <definedName name="Table5" localSheetId="1">[106]Stfrprtables!#REF!</definedName>
    <definedName name="Table5" localSheetId="8">[106]Stfrprtables!#REF!</definedName>
    <definedName name="Table5">[106]Stfrprtables!#REF!</definedName>
    <definedName name="Table8" localSheetId="1">#REF!</definedName>
    <definedName name="Table8" localSheetId="14">#REF!</definedName>
    <definedName name="Table8" localSheetId="8">#REF!</definedName>
    <definedName name="Table8">#REF!</definedName>
    <definedName name="TABMON" localSheetId="1">#REF!</definedName>
    <definedName name="TABMON" localSheetId="14">#REF!</definedName>
    <definedName name="TABMON" localSheetId="8">#REF!</definedName>
    <definedName name="TABMON">#REF!</definedName>
    <definedName name="TAME" localSheetId="1">#REF!</definedName>
    <definedName name="TAME" localSheetId="14">#REF!</definedName>
    <definedName name="TAME" localSheetId="8">#REF!</definedName>
    <definedName name="TAME">#REF!</definedName>
    <definedName name="TAR">[35]DPG!$AG$31:$AT$75</definedName>
    <definedName name="TarRo">'[107]Parámetros y Sensibilidad'!$C$5</definedName>
    <definedName name="TC">1.5265</definedName>
    <definedName name="TCA">[108]Ventas!$C$14</definedName>
    <definedName name="TCN">[62]SREAL!A$158</definedName>
    <definedName name="TCP">[108]Ventas!$C$13</definedName>
    <definedName name="TercerTRIM" localSheetId="1">#REF!</definedName>
    <definedName name="TercerTRIM" localSheetId="14">#REF!</definedName>
    <definedName name="TercerTRIM" localSheetId="8">#REF!</definedName>
    <definedName name="TercerTRIM">#REF!</definedName>
    <definedName name="teset" localSheetId="14"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 localSheetId="14" hidden="1">{#N/A,#N/A,FALSE,"DOC";"TB_28",#N/A,FALSE,"FITB_28";"TB_91",#N/A,FALSE,"FITB_91";"TB_182",#N/A,FALSE,"FITB_182";"TB_273",#N/A,FALSE,"FITB_273";"TB_364",#N/A,FALSE,"FITB_364 ";"SUMMARY",#N/A,FALSE,"Summary"}</definedName>
    <definedName name="test" hidden="1">{#N/A,#N/A,FALSE,"DOC";"TB_28",#N/A,FALSE,"FITB_28";"TB_91",#N/A,FALSE,"FITB_91";"TB_182",#N/A,FALSE,"FITB_182";"TB_273",#N/A,FALSE,"FITB_273";"TB_364",#N/A,FALSE,"FITB_364 ";"SUMMARY",#N/A,FALSE,"Summary"}</definedName>
    <definedName name="TEST1" localSheetId="1">#REF!</definedName>
    <definedName name="TEST1" localSheetId="14">#REF!</definedName>
    <definedName name="TEST1" localSheetId="8">#REF!</definedName>
    <definedName name="TEST1">#REF!</definedName>
    <definedName name="TEST2" localSheetId="1">#REF!</definedName>
    <definedName name="TEST2" localSheetId="14">#REF!</definedName>
    <definedName name="TEST2" localSheetId="8">#REF!</definedName>
    <definedName name="TEST2">#REF!</definedName>
    <definedName name="TIT_FLW_CUM" localSheetId="1">#REF!</definedName>
    <definedName name="TIT_FLW_CUM" localSheetId="14">#REF!</definedName>
    <definedName name="TIT_FLW_CUM" localSheetId="8">#REF!</definedName>
    <definedName name="TIT_FLW_CUM">#REF!</definedName>
    <definedName name="TIT_FLW_QTY" localSheetId="1">#REF!</definedName>
    <definedName name="TIT_FLW_QTY" localSheetId="8">#REF!</definedName>
    <definedName name="TIT_FLW_QTY">#REF!</definedName>
    <definedName name="tit_imp" localSheetId="1">#REF!,#REF!</definedName>
    <definedName name="tit_imp" localSheetId="14">#REF!,#REF!</definedName>
    <definedName name="tit_imp" localSheetId="8">#REF!,#REF!</definedName>
    <definedName name="tit_imp">#REF!,#REF!</definedName>
    <definedName name="TIT_STOCKS" localSheetId="1">#REF!</definedName>
    <definedName name="TIT_STOCKS" localSheetId="14">#REF!</definedName>
    <definedName name="TIT_STOCKS" localSheetId="8">#REF!</definedName>
    <definedName name="TIT_STOCKS">#REF!</definedName>
    <definedName name="títulos" localSheetId="1">#REF!</definedName>
    <definedName name="títulos" localSheetId="14">#REF!</definedName>
    <definedName name="títulos" localSheetId="8">#REF!</definedName>
    <definedName name="títulos">#REF!</definedName>
    <definedName name="_xlnm.Print_Titles" localSheetId="1">#REF!,#REF!</definedName>
    <definedName name="_xlnm.Print_Titles" localSheetId="14">#REF!,#REF!</definedName>
    <definedName name="_xlnm.Print_Titles" localSheetId="8">#REF!,#REF!</definedName>
    <definedName name="_xlnm.Print_Titles">#REF!,#REF!</definedName>
    <definedName name="Títulos_a_imprimir_IM" localSheetId="1">#REF!</definedName>
    <definedName name="Títulos_a_imprimir_IM" localSheetId="14">#REF!</definedName>
    <definedName name="Títulos_a_imprimir_IM" localSheetId="8">#REF!</definedName>
    <definedName name="Títulos_a_imprimir_IM">#REF!</definedName>
    <definedName name="tj" localSheetId="14" hidden="1">{"Riqfin97",#N/A,FALSE,"Tran";"Riqfinpro",#N/A,FALSE,"Tran"}</definedName>
    <definedName name="tj" hidden="1">{"Riqfin97",#N/A,FALSE,"Tran";"Riqfinpro",#N/A,FALSE,"Tran"}</definedName>
    <definedName name="TJA" localSheetId="1">#REF!</definedName>
    <definedName name="TJA" localSheetId="14">#REF!</definedName>
    <definedName name="TJA" localSheetId="8">#REF!</definedName>
    <definedName name="TJA">#REF!</definedName>
    <definedName name="TMG_D">[109]Q5!$E$23:$AH$23</definedName>
    <definedName name="TMGO">#N/A</definedName>
    <definedName name="TOT" localSheetId="1">#REF!</definedName>
    <definedName name="TOT" localSheetId="14">#REF!</definedName>
    <definedName name="TOT" localSheetId="8">#REF!</definedName>
    <definedName name="TOT">#REF!</definedName>
    <definedName name="TOTAL" localSheetId="1">#REF!</definedName>
    <definedName name="TOTAL" localSheetId="14">#REF!</definedName>
    <definedName name="TOTAL" localSheetId="8">#REF!</definedName>
    <definedName name="TOTAL">#REF!</definedName>
    <definedName name="Total_Interest" localSheetId="1">#REF!</definedName>
    <definedName name="Total_Interest" localSheetId="14">#REF!</definedName>
    <definedName name="Total_Interest" localSheetId="8">#REF!</definedName>
    <definedName name="Total_Interest">#REF!</definedName>
    <definedName name="TOTAL_INYECTION" localSheetId="1">#REF!</definedName>
    <definedName name="TOTAL_INYECTION" localSheetId="8">#REF!</definedName>
    <definedName name="TOTAL_INYECTION">#REF!</definedName>
    <definedName name="Total_Pay" localSheetId="1">#REF!</definedName>
    <definedName name="Total_Pay" localSheetId="8">#REF!</definedName>
    <definedName name="Total_Pay">#REF!</definedName>
    <definedName name="Total_Payment" localSheetId="1">Scheduled_Payment+Extra_Payment</definedName>
    <definedName name="Total_Payment" localSheetId="14">Scheduled_Payment+Extra_Payment</definedName>
    <definedName name="Total_Payment" localSheetId="8">Scheduled_Payment+Extra_Payment</definedName>
    <definedName name="Total_Payment">Scheduled_Payment+Extra_Payment</definedName>
    <definedName name="totalCampos" localSheetId="1">#REF!</definedName>
    <definedName name="totalCampos" localSheetId="14">#REF!</definedName>
    <definedName name="totalCampos" localSheetId="8">#REF!</definedName>
    <definedName name="totalCampos">#REF!</definedName>
    <definedName name="totalExistente" localSheetId="1">#REF!</definedName>
    <definedName name="totalExistente" localSheetId="14">#REF!</definedName>
    <definedName name="totalExistente" localSheetId="8">#REF!</definedName>
    <definedName name="totalExistente">#REF!</definedName>
    <definedName name="totalNuevo" localSheetId="1">#REF!</definedName>
    <definedName name="totalNuevo" localSheetId="14">#REF!</definedName>
    <definedName name="totalNuevo" localSheetId="8">#REF!</definedName>
    <definedName name="totalNuevo">#REF!</definedName>
    <definedName name="TOWEO" localSheetId="1">#REF!</definedName>
    <definedName name="TOWEO" localSheetId="8">#REF!</definedName>
    <definedName name="TOWEO">#REF!</definedName>
    <definedName name="TRADE3" localSheetId="1">[32]Trade!#REF!</definedName>
    <definedName name="TRADE3" localSheetId="14">[32]Trade!#REF!</definedName>
    <definedName name="TRADE3" localSheetId="8">[32]Trade!#REF!</definedName>
    <definedName name="TRADE3">[32]Trade!#REF!</definedName>
    <definedName name="trans" localSheetId="1">#REF!</definedName>
    <definedName name="trans" localSheetId="14">#REF!</definedName>
    <definedName name="trans" localSheetId="8">#REF!</definedName>
    <definedName name="trans">#REF!</definedName>
    <definedName name="Transfer_check" localSheetId="1">#REF!</definedName>
    <definedName name="Transfer_check" localSheetId="14">#REF!</definedName>
    <definedName name="Transfer_check" localSheetId="8">#REF!</definedName>
    <definedName name="Transfer_check">#REF!</definedName>
    <definedName name="TRANSNAVE" localSheetId="1">#REF!</definedName>
    <definedName name="TRANSNAVE" localSheetId="14">#REF!</definedName>
    <definedName name="TRANSNAVE" localSheetId="8">#REF!</definedName>
    <definedName name="TRANSNAVE">#REF!</definedName>
    <definedName name="TRAS">#N/A</definedName>
    <definedName name="TRI" localSheetId="1">#REF!</definedName>
    <definedName name="TRI" localSheetId="14">#REF!</definedName>
    <definedName name="TRI" localSheetId="8">#REF!</definedName>
    <definedName name="TRI">#REF!</definedName>
    <definedName name="tt" localSheetId="1">#REF!</definedName>
    <definedName name="tt" localSheetId="14">#REF!</definedName>
    <definedName name="tt" localSheetId="8">#REF!</definedName>
    <definedName name="tt">#REF!</definedName>
    <definedName name="ttt" localSheetId="14" hidden="1">{"Minpmon",#N/A,FALSE,"Monthinput"}</definedName>
    <definedName name="ttt" hidden="1">{"Minpmon",#N/A,FALSE,"Monthinput"}</definedName>
    <definedName name="tttt" localSheetId="14" hidden="1">{"Tab1",#N/A,FALSE,"P";"Tab2",#N/A,FALSE,"P"}</definedName>
    <definedName name="tttt" hidden="1">{"Tab1",#N/A,FALSE,"P";"Tab2",#N/A,FALSE,"P"}</definedName>
    <definedName name="ttttt" localSheetId="1" hidden="1">[110]M!#REF!</definedName>
    <definedName name="ttttt" localSheetId="8" hidden="1">[110]M!#REF!</definedName>
    <definedName name="ttttt" hidden="1">[110]M!#REF!</definedName>
    <definedName name="TXG_D">#N/A</definedName>
    <definedName name="TXGO">#N/A</definedName>
    <definedName name="ty" localSheetId="14" hidden="1">{"Riqfin97",#N/A,FALSE,"Tran";"Riqfinpro",#N/A,FALSE,"Tran"}</definedName>
    <definedName name="ty" hidden="1">{"Riqfin97",#N/A,FALSE,"Tran";"Riqfinpro",#N/A,FALSE,"Tran"}</definedName>
    <definedName name="u" localSheetId="1">#REF!</definedName>
    <definedName name="u" localSheetId="14">#REF!</definedName>
    <definedName name="u" localSheetId="8">#REF!</definedName>
    <definedName name="u">#REF!</definedName>
    <definedName name="une" localSheetId="1">#REF!</definedName>
    <definedName name="une" localSheetId="14">#REF!</definedName>
    <definedName name="une" localSheetId="8">#REF!</definedName>
    <definedName name="une">#REF!</definedName>
    <definedName name="Universities" localSheetId="1">#REF!</definedName>
    <definedName name="Universities" localSheetId="14">#REF!</definedName>
    <definedName name="Universities" localSheetId="8">#REF!</definedName>
    <definedName name="Universities">#REF!</definedName>
    <definedName name="UNO" localSheetId="1">#REF!</definedName>
    <definedName name="UNO" localSheetId="8">#REF!</definedName>
    <definedName name="UNO">#REF!</definedName>
    <definedName name="unrc" localSheetId="1">#REF!</definedName>
    <definedName name="unrc" localSheetId="8">#REF!</definedName>
    <definedName name="unrc">#REF!</definedName>
    <definedName name="UPD_Dates" localSheetId="1">#REF!</definedName>
    <definedName name="UPD_Dates" localSheetId="8">#REF!</definedName>
    <definedName name="UPD_Dates">#REF!</definedName>
    <definedName name="UPD_Names" localSheetId="1">#REF!</definedName>
    <definedName name="UPD_Names" localSheetId="8">#REF!</definedName>
    <definedName name="UPD_Names">#REF!</definedName>
    <definedName name="Uruguay" localSheetId="1">#REF!</definedName>
    <definedName name="Uruguay" localSheetId="8">#REF!</definedName>
    <definedName name="Uruguay">#REF!</definedName>
    <definedName name="USERNAME" localSheetId="1">#REF!</definedName>
    <definedName name="USERNAME" localSheetId="8">#REF!</definedName>
    <definedName name="USERNAME">#REF!</definedName>
    <definedName name="uu" localSheetId="14" hidden="1">{"Riqfin97",#N/A,FALSE,"Tran";"Riqfinpro",#N/A,FALSE,"Tran"}</definedName>
    <definedName name="uu" hidden="1">{"Riqfin97",#N/A,FALSE,"Tran";"Riqfinpro",#N/A,FALSE,"Tran"}</definedName>
    <definedName name="uuu" localSheetId="14" hidden="1">{"Riqfin97",#N/A,FALSE,"Tran";"Riqfinpro",#N/A,FALSE,"Tran"}</definedName>
    <definedName name="uuu" hidden="1">{"Riqfin97",#N/A,FALSE,"Tran";"Riqfinpro",#N/A,FALSE,"Tran"}</definedName>
    <definedName name="uuuuuu" localSheetId="14" hidden="1">{"Riqfin97",#N/A,FALSE,"Tran";"Riqfinpro",#N/A,FALSE,"Tran"}</definedName>
    <definedName name="uuuuuu" hidden="1">{"Riqfin97",#N/A,FALSE,"Tran";"Riqfinpro",#N/A,FALSE,"Tran"}</definedName>
    <definedName name="uyuyituiu" localSheetId="1">'[64]PAPE-98'!#REF!</definedName>
    <definedName name="uyuyituiu" localSheetId="8">'[64]PAPE-98'!#REF!</definedName>
    <definedName name="uyuyituiu">'[64]PAPE-98'!#REF!</definedName>
    <definedName name="v">'[70]8'!$A$1</definedName>
    <definedName name="Values_Entered">#N/A</definedName>
    <definedName name="VARIOS" localSheetId="1">'[50]Ejecución 2004'!#REF!</definedName>
    <definedName name="VARIOS" localSheetId="8">'[50]Ejecución 2004'!#REF!</definedName>
    <definedName name="VARIOS">'[50]Ejecución 2004'!#REF!</definedName>
    <definedName name="VBPCMB" localSheetId="1">#REF!</definedName>
    <definedName name="VBPCMB" localSheetId="14">#REF!</definedName>
    <definedName name="VBPCMB" localSheetId="8">#REF!</definedName>
    <definedName name="VBPCMB">#REF!</definedName>
    <definedName name="VBPDEP" localSheetId="1">#REF!</definedName>
    <definedName name="VBPDEP" localSheetId="14">#REF!</definedName>
    <definedName name="VBPDEP" localSheetId="8">#REF!</definedName>
    <definedName name="VBPDEP">#REF!</definedName>
    <definedName name="VBPMCOOP" localSheetId="1">#REF!</definedName>
    <definedName name="VBPMCOOP" localSheetId="14">#REF!</definedName>
    <definedName name="VBPMCOOP" localSheetId="8">#REF!</definedName>
    <definedName name="VBPMCOOP">#REF!</definedName>
    <definedName name="VBPMIN" localSheetId="1">#REF!</definedName>
    <definedName name="VBPMIN" localSheetId="8">#REF!</definedName>
    <definedName name="VBPMIN">#REF!</definedName>
    <definedName name="VBPMMED" localSheetId="1">#REF!</definedName>
    <definedName name="VBPMMED" localSheetId="8">#REF!</definedName>
    <definedName name="VBPMMED">#REF!</definedName>
    <definedName name="venci" localSheetId="1">#REF!</definedName>
    <definedName name="venci" localSheetId="8">#REF!</definedName>
    <definedName name="venci">#REF!</definedName>
    <definedName name="venci2000" localSheetId="1">#REF!</definedName>
    <definedName name="venci2000" localSheetId="8">#REF!</definedName>
    <definedName name="venci2000">#REF!</definedName>
    <definedName name="venci2001" localSheetId="1">#REF!</definedName>
    <definedName name="venci2001" localSheetId="8">#REF!</definedName>
    <definedName name="venci2001">#REF!</definedName>
    <definedName name="venci2002" localSheetId="1">#REF!</definedName>
    <definedName name="venci2002" localSheetId="8">#REF!</definedName>
    <definedName name="venci2002">#REF!</definedName>
    <definedName name="venci2003" localSheetId="1">#REF!</definedName>
    <definedName name="venci2003" localSheetId="8">#REF!</definedName>
    <definedName name="venci2003">#REF!</definedName>
    <definedName name="venci98" localSheetId="1">[22]Programa!#REF!</definedName>
    <definedName name="venci98" localSheetId="8">[22]Programa!#REF!</definedName>
    <definedName name="venci98">[22]Programa!#REF!</definedName>
    <definedName name="venci98j" localSheetId="1">[22]Programa!#REF!</definedName>
    <definedName name="venci98j" localSheetId="8">[22]Programa!#REF!</definedName>
    <definedName name="venci98j">[22]Programa!#REF!</definedName>
    <definedName name="venci98s" localSheetId="1">#REF!</definedName>
    <definedName name="venci98s" localSheetId="14">#REF!</definedName>
    <definedName name="venci98s" localSheetId="8">#REF!</definedName>
    <definedName name="venci98s">#REF!</definedName>
    <definedName name="venci99" localSheetId="1">#REF!</definedName>
    <definedName name="venci99" localSheetId="14">#REF!</definedName>
    <definedName name="venci99" localSheetId="8">#REF!</definedName>
    <definedName name="venci99">#REF!</definedName>
    <definedName name="Venezuela" localSheetId="1">#REF!</definedName>
    <definedName name="Venezuela" localSheetId="14">#REF!</definedName>
    <definedName name="Venezuela" localSheetId="8">#REF!</definedName>
    <definedName name="Venezuela">#REF!</definedName>
    <definedName name="VFVFVFVF" localSheetId="1">#REF!</definedName>
    <definedName name="VFVFVFVF" localSheetId="8">#REF!</definedName>
    <definedName name="VFVFVFVF">#REF!</definedName>
    <definedName name="vn" localSheetId="1">#REF!</definedName>
    <definedName name="vn" localSheetId="8">#REF!</definedName>
    <definedName name="vn">#REF!</definedName>
    <definedName name="VOLTOT" localSheetId="1">[111]Nrj!#REF!</definedName>
    <definedName name="VOLTOT" localSheetId="8">[111]Nrj!#REF!</definedName>
    <definedName name="VOLTOT">[111]Nrj!#REF!</definedName>
    <definedName name="vv" localSheetId="14" hidden="1">{"Tab1",#N/A,FALSE,"P";"Tab2",#N/A,FALSE,"P"}</definedName>
    <definedName name="vv" hidden="1">{"Tab1",#N/A,FALSE,"P";"Tab2",#N/A,FALSE,"P"}</definedName>
    <definedName name="vvv" localSheetId="14" hidden="1">{"Tab1",#N/A,FALSE,"P";"Tab2",#N/A,FALSE,"P"}</definedName>
    <definedName name="vvv" hidden="1">{"Tab1",#N/A,FALSE,"P";"Tab2",#N/A,FALSE,"P"}</definedName>
    <definedName name="vvvv" localSheetId="14" hidden="1">{"Minpmon",#N/A,FALSE,"Monthinput"}</definedName>
    <definedName name="vvvv" hidden="1">{"Minpmon",#N/A,FALSE,"Monthinput"}</definedName>
    <definedName name="vvvvbvv" localSheetId="1">#REF!</definedName>
    <definedName name="vvvvbvv" localSheetId="14">#REF!</definedName>
    <definedName name="vvvvbvv" localSheetId="8">#REF!</definedName>
    <definedName name="vvvvbvv">#REF!</definedName>
    <definedName name="vvvvvvvvvvvv" localSheetId="14" hidden="1">{"Riqfin97",#N/A,FALSE,"Tran";"Riqfinpro",#N/A,FALSE,"Tran"}</definedName>
    <definedName name="vvvvvvvvvvvv" hidden="1">{"Riqfin97",#N/A,FALSE,"Tran";"Riqfinpro",#N/A,FALSE,"Tran"}</definedName>
    <definedName name="vvvvvvvvvvvvv" localSheetId="14" hidden="1">{"Tab1",#N/A,FALSE,"P";"Tab2",#N/A,FALSE,"P"}</definedName>
    <definedName name="vvvvvvvvvvvvv" hidden="1">{"Tab1",#N/A,FALSE,"P";"Tab2",#N/A,FALSE,"P"}</definedName>
    <definedName name="VXCMB" localSheetId="1">#REF!</definedName>
    <definedName name="VXCMB" localSheetId="14">#REF!</definedName>
    <definedName name="VXCMB" localSheetId="8">#REF!</definedName>
    <definedName name="VXCMB">#REF!</definedName>
    <definedName name="VXCOOP" localSheetId="1">#REF!</definedName>
    <definedName name="VXCOOP" localSheetId="14">#REF!</definedName>
    <definedName name="VXCOOP" localSheetId="8">#REF!</definedName>
    <definedName name="VXCOOP">#REF!</definedName>
    <definedName name="VXDEP" localSheetId="1">#REF!</definedName>
    <definedName name="VXDEP" localSheetId="14">#REF!</definedName>
    <definedName name="VXDEP" localSheetId="8">#REF!</definedName>
    <definedName name="VXDEP">#REF!</definedName>
    <definedName name="VXMMED" localSheetId="1">#REF!</definedName>
    <definedName name="VXMMED" localSheetId="8">#REF!</definedName>
    <definedName name="VXMMED">#REF!</definedName>
    <definedName name="VXTOT" localSheetId="1">#REF!</definedName>
    <definedName name="VXTOT" localSheetId="8">#REF!</definedName>
    <definedName name="VXTOT">#REF!</definedName>
    <definedName name="w" localSheetId="14" hidden="1">{"Minpmon",#N/A,FALSE,"Monthinput"}</definedName>
    <definedName name="w" hidden="1">{"Minpmon",#N/A,FALSE,"Monthinput"}</definedName>
    <definedName name="WEO" localSheetId="1">#REF!</definedName>
    <definedName name="WEO" localSheetId="14">#REF!</definedName>
    <definedName name="WEO" localSheetId="8">#REF!</definedName>
    <definedName name="WEO">#REF!</definedName>
    <definedName name="WEOD" localSheetId="1">#REF!</definedName>
    <definedName name="WEOD" localSheetId="14">#REF!</definedName>
    <definedName name="WEOD" localSheetId="8">#REF!</definedName>
    <definedName name="WEOD">#REF!</definedName>
    <definedName name="wer" localSheetId="14" hidden="1">{"Riqfin97",#N/A,FALSE,"Tran";"Riqfinpro",#N/A,FALSE,"Tran"}</definedName>
    <definedName name="wer" hidden="1">{"Riqfin97",#N/A,FALSE,"Tran";"Riqfinpro",#N/A,FALSE,"Tran"}</definedName>
    <definedName name="WEWQ" localSheetId="1">#REF!</definedName>
    <definedName name="WEWQ" localSheetId="14">#REF!</definedName>
    <definedName name="WEWQ" localSheetId="8">#REF!</definedName>
    <definedName name="WEWQ">#REF!</definedName>
    <definedName name="WQE" localSheetId="1">#REF!</definedName>
    <definedName name="WQE" localSheetId="14">#REF!</definedName>
    <definedName name="WQE" localSheetId="8">#REF!</definedName>
    <definedName name="WQE">#REF!</definedName>
    <definedName name="WQEWE" localSheetId="1" hidden="1">[71]Retroactivos!#REF!</definedName>
    <definedName name="WQEWE" localSheetId="14" hidden="1">[71]Retroactivos!#REF!</definedName>
    <definedName name="WQEWE" localSheetId="8" hidden="1">[71]Retroactivos!#REF!</definedName>
    <definedName name="WQEWE" hidden="1">[71]Retroactivos!#REF!</definedName>
    <definedName name="wr" localSheetId="14" hidden="1">{"macro",#N/A,FALSE,"Macro";"smq2",#N/A,FALSE,"Data";"smq3",#N/A,FALSE,"Data";"smq4",#N/A,FALSE,"Data";"smq5",#N/A,FALSE,"Data";"smq6",#N/A,FALSE,"Data";"smq7",#N/A,FALSE,"Data";"smq8",#N/A,FALSE,"Data";"smq9",#N/A,FALSE,"Data"}</definedName>
    <definedName name="wr" hidden="1">{"macro",#N/A,FALSE,"Macro";"smq2",#N/A,FALSE,"Data";"smq3",#N/A,FALSE,"Data";"smq4",#N/A,FALSE,"Data";"smq5",#N/A,FALSE,"Data";"smq6",#N/A,FALSE,"Data";"smq7",#N/A,FALSE,"Data";"smq8",#N/A,FALSE,"Data";"smq9",#N/A,FALSE,"Data"}</definedName>
    <definedName name="wrn.97REDBOP." localSheetId="14" hidden="1">{"TRADE_COMP",#N/A,FALSE,"TAB23APP";"BOP",#N/A,FALSE,"TAB6";"DOT",#N/A,FALSE,"TAB24APP";"EXTDEBT",#N/A,FALSE,"TAB25APP"}</definedName>
    <definedName name="wrn.97REDBOP." hidden="1">{"TRADE_COMP",#N/A,FALSE,"TAB23APP";"BOP",#N/A,FALSE,"TAB6";"DOT",#N/A,FALSE,"TAB24APP";"EXTDEBT",#N/A,FALSE,"TAB25APP"}</definedName>
    <definedName name="wrn.All._.Standard." localSheetId="14" hidden="1">{#N/A,#N/A,FALSE,"CONTENTS";#N/A,#N/A,FALSE,"ASS";#N/A,#N/A,FALSE,"BOP";#N/A,#N/A,FALSE,"BOPGDP";#N/A,#N/A,FALSE,"EXP";#N/A,#N/A,FALSE,"EXPG";#N/A,#N/A,FALSE,"EXPP";#N/A,#N/A,FALSE,"IMP";#N/A,#N/A,FALSE,"TOT";#N/A,#N/A,FALSE,"SERV";#N/A,#N/A,FALSE,"TRAN";#N/A,#N/A,FALSE,"DISB";#N/A,#N/A,FALSE,"AMOR";#N/A,#N/A,FALSE,"INT";#N/A,#N/A,FALSE,"DEBT"}</definedName>
    <definedName name="wrn.All._.Standard." hidden="1">{#N/A,#N/A,FALSE,"CONTENTS";#N/A,#N/A,FALSE,"ASS";#N/A,#N/A,FALSE,"BOP";#N/A,#N/A,FALSE,"BOPGDP";#N/A,#N/A,FALSE,"EXP";#N/A,#N/A,FALSE,"EXPG";#N/A,#N/A,FALSE,"EXPP";#N/A,#N/A,FALSE,"IMP";#N/A,#N/A,FALSE,"TOT";#N/A,#N/A,FALSE,"SERV";#N/A,#N/A,FALSE,"TRAN";#N/A,#N/A,FALSE,"DISB";#N/A,#N/A,FALSE,"AMOR";#N/A,#N/A,FALSE,"INT";#N/A,#N/A,FALSE,"DEBT"}</definedName>
    <definedName name="wrn.annual." localSheetId="14" hidden="1">{"annual-cbr",#N/A,FALSE,"CENTBANK";"annual(banks)",#N/A,FALSE,"COMBANKS"}</definedName>
    <definedName name="wrn.annual." hidden="1">{"annual-cbr",#N/A,FALSE,"CENTBANK";"annual(banks)",#N/A,FALSE,"COMBANKS"}</definedName>
    <definedName name="wrn.ARMRED97." localSheetId="14"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ank.1" localSheetId="14" hidden="1">{#N/A,#N/A,FALSE,"BANKS"}</definedName>
    <definedName name="wrn.bank.1" hidden="1">{#N/A,#N/A,FALSE,"BANKS"}</definedName>
    <definedName name="wrn.BANKS." localSheetId="14" hidden="1">{#N/A,#N/A,FALSE,"BANKS"}</definedName>
    <definedName name="wrn.BANKS." hidden="1">{#N/A,#N/A,FALSE,"BANKS"}</definedName>
    <definedName name="wrn.BOP." localSheetId="14" hidden="1">{#N/A,#N/A,FALSE,"BOP"}</definedName>
    <definedName name="wrn.BOP." hidden="1">{#N/A,#N/A,FALSE,"BOP"}</definedName>
    <definedName name="wrn.bop.1" localSheetId="14" hidden="1">{#N/A,#N/A,FALSE,"BOP"}</definedName>
    <definedName name="wrn.bop.1" hidden="1">{#N/A,#N/A,FALSE,"BOP"}</definedName>
    <definedName name="wrn.BOP_MIDTERM." localSheetId="14" hidden="1">{"BOP_TAB",#N/A,FALSE,"N";"MIDTERM_TAB",#N/A,FALSE,"O"}</definedName>
    <definedName name="wrn.BOP_MIDTERM." hidden="1">{"BOP_TAB",#N/A,FALSE,"N";"MIDTERM_TAB",#N/A,FALSE,"O"}</definedName>
    <definedName name="wrn.Briefing._.98." localSheetId="14" hidden="1">{#N/A,#N/A,FALSE,"COVER";"brief98",#N/A,FALSE,"CGovmt";"brief98",#N/A,FALSE,"RONFPS";"brief98",#N/A,FALSE,"CONSNFPS";"brief98",#N/A,FALSE,"SRCGOVT";"brief98",#N/A,FALSE,"SRNFPS";"brief98",#N/A,FALSE,"NFPSFIN";"brief98",#N/A,FALSE,"BOP";"brief98",#N/A,FALSE,"CENTBANK";"brief98",#N/A,FALSE,"COMBANKS";"brief98",#N/A,FALSE,"BSYSTEM";"brief98",#N/A,FALSE,"NBANKFINST";"brief98",#N/A,FALSE,"FSYSTEM";"brief98",#N/A,FALSE,"PERCRITERIA";"brief98",#N/A,FALSE,"MONAGGREG"}</definedName>
    <definedName name="wrn.Briefing._.98." hidden="1">{#N/A,#N/A,FALSE,"COVER";"brief98",#N/A,FALSE,"CGovmt";"brief98",#N/A,FALSE,"RONFPS";"brief98",#N/A,FALSE,"CONSNFPS";"brief98",#N/A,FALSE,"SRCGOVT";"brief98",#N/A,FALSE,"SRNFPS";"brief98",#N/A,FALSE,"NFPSFIN";"brief98",#N/A,FALSE,"BOP";"brief98",#N/A,FALSE,"CENTBANK";"brief98",#N/A,FALSE,"COMBANKS";"brief98",#N/A,FALSE,"BSYSTEM";"brief98",#N/A,FALSE,"NBANKFINST";"brief98",#N/A,FALSE,"FSYSTEM";"brief98",#N/A,FALSE,"PERCRITERIA";"brief98",#N/A,FALSE,"MONAGGREG"}</definedName>
    <definedName name="wrn.CelPIB." localSheetId="14" hidden="1">{#N/A,#N/A,FALSE,"CelPIB"}</definedName>
    <definedName name="wrn.CelPIB." hidden="1">{#N/A,#N/A,FALSE,"CelPIB"}</definedName>
    <definedName name="wrn.CG._.Cons._.GDP." localSheetId="14" hidden="1">{#N/A,#N/A,FALSE,"CG Cons GDP";#N/A,#N/A,FALSE,"CG Cons GDP";#N/A,#N/A,FALSE,"CGvt Revenue GDP";#N/A,#N/A,FALSE,"RestGGPIB";#N/A,#N/A,FALSE,"RestGGPIB";#N/A,#N/A,FALSE,"SSPIB";#N/A,#N/A,FALSE,"EntpsPIB";#N/A,#N/A,FALSE,"EntpsPIB";#N/A,#N/A,FALSE,"CelPIB"}</definedName>
    <definedName name="wrn.CG._.Cons._.GDP." hidden="1">{#N/A,#N/A,FALSE,"CG Cons GDP";#N/A,#N/A,FALSE,"CG Cons GDP";#N/A,#N/A,FALSE,"CGvt Revenue GDP";#N/A,#N/A,FALSE,"RestGGPIB";#N/A,#N/A,FALSE,"RestGGPIB";#N/A,#N/A,FALSE,"SSPIB";#N/A,#N/A,FALSE,"EntpsPIB";#N/A,#N/A,FALSE,"EntpsPIB";#N/A,#N/A,FALSE,"CelPIB"}</definedName>
    <definedName name="wrn.CGvt._.Revenue._.GDP." localSheetId="14" hidden="1">{#N/A,#N/A,FALSE,"NFPS GDP"}</definedName>
    <definedName name="wrn.CGvt._.Revenue._.GDP." hidden="1">{#N/A,#N/A,FALSE,"NFPS GDP"}</definedName>
    <definedName name="wrn.CREDIT." localSheetId="14" hidden="1">{#N/A,#N/A,FALSE,"CREDIT"}</definedName>
    <definedName name="wrn.CREDIT." hidden="1">{#N/A,#N/A,FALSE,"CREDIT"}</definedName>
    <definedName name="wrn.credit.1" localSheetId="14" hidden="1">{#N/A,#N/A,FALSE,"CREDIT"}</definedName>
    <definedName name="wrn.credit.1" hidden="1">{#N/A,#N/A,FALSE,"CREDIT"}</definedName>
    <definedName name="wrn.DEBTSVC." localSheetId="14" hidden="1">{#N/A,#N/A,FALSE,"DEBTSVC"}</definedName>
    <definedName name="wrn.DEBTSVC." hidden="1">{#N/A,#N/A,FALSE,"DEBTSVC"}</definedName>
    <definedName name="wrn.debtsvc1" localSheetId="14" hidden="1">{#N/A,#N/A,FALSE,"DEBTSVC"}</definedName>
    <definedName name="wrn.debtsvc1" hidden="1">{#N/A,#N/A,FALSE,"DEBTSVC"}</definedName>
    <definedName name="wrn.DEPO." localSheetId="14" hidden="1">{#N/A,#N/A,FALSE,"DEPO"}</definedName>
    <definedName name="wrn.DEPO." hidden="1">{#N/A,#N/A,FALSE,"DEPO"}</definedName>
    <definedName name="wrn.EntpsPIB." localSheetId="14" hidden="1">{#N/A,#N/A,FALSE,"EntpsPIB"}</definedName>
    <definedName name="wrn.EntpsPIB." hidden="1">{#N/A,#N/A,FALSE,"EntpsPIB"}</definedName>
    <definedName name="wrn.EXCISE." localSheetId="14" hidden="1">{#N/A,#N/A,FALSE,"EXCISE"}</definedName>
    <definedName name="wrn.EXCISE." hidden="1">{#N/A,#N/A,FALSE,"EXCISE"}</definedName>
    <definedName name="wrn.EXRATE." localSheetId="14" hidden="1">{#N/A,#N/A,FALSE,"EXRATE"}</definedName>
    <definedName name="wrn.EXRATE." hidden="1">{#N/A,#N/A,FALSE,"EXRATE"}</definedName>
    <definedName name="wrn.EXTDEBT." localSheetId="14" hidden="1">{#N/A,#N/A,FALSE,"EXTDEBT"}</definedName>
    <definedName name="wrn.EXTDEBT." hidden="1">{#N/A,#N/A,FALSE,"EXTDEBT"}</definedName>
    <definedName name="wrn.EXTRABUDGT." localSheetId="14" hidden="1">{#N/A,#N/A,FALSE,"EXTRABUDGT"}</definedName>
    <definedName name="wrn.EXTRABUDGT." hidden="1">{#N/A,#N/A,FALSE,"EXTRABUDGT"}</definedName>
    <definedName name="wrn.EXTRABUDGT2." localSheetId="14" hidden="1">{#N/A,#N/A,FALSE,"EXTRABUDGT2"}</definedName>
    <definedName name="wrn.EXTRABUDGT2." hidden="1">{#N/A,#N/A,FALSE,"EXTRABUDGT2"}</definedName>
    <definedName name="wrn.FISCRED97." localSheetId="14" hidden="1">{"CONSOLIDATED",#N/A,FALSE,"TAB2";"CONSOL_GDP",#N/A,FALSE,"TAB3";"STATE_OP",#N/A,FALSE,"TAB13APP";"STATE_GDP",#N/A,FALSE,"TAB14APP";"TAXREV",#N/A,FALSE,"TAB15APP";"CURREXP",#N/A,FALSE,"TAB16APP";"PEF",#N/A,FALSE,"TAB17APP";"PEF_GDP",#N/A,FALSE,"TAB18APP";"PENSION_AVG",#N/A,FALSE,"TAB19APP";"BENEFIT_UNEMP",#N/A,FALSE,"TAB20APP"}</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GDP." localSheetId="14" hidden="1">{#N/A,#N/A,FALSE,"GDP_ORIGIN";#N/A,#N/A,FALSE,"EMP_POP"}</definedName>
    <definedName name="wrn.GDP." hidden="1">{#N/A,#N/A,FALSE,"GDP_ORIGIN";#N/A,#N/A,FALSE,"EMP_POP"}</definedName>
    <definedName name="wrn.GGOVT." localSheetId="14" hidden="1">{#N/A,#N/A,FALSE,"GGOVT"}</definedName>
    <definedName name="wrn.GGOVT." hidden="1">{#N/A,#N/A,FALSE,"GGOVT"}</definedName>
    <definedName name="wrn.GGOVT2." localSheetId="14" hidden="1">{#N/A,#N/A,FALSE,"GGOVT2"}</definedName>
    <definedName name="wrn.GGOVT2." hidden="1">{#N/A,#N/A,FALSE,"GGOVT2"}</definedName>
    <definedName name="wrn.GGOVTPC." localSheetId="14" hidden="1">{#N/A,#N/A,FALSE,"GGOVT%"}</definedName>
    <definedName name="wrn.GGOVTPC." hidden="1">{#N/A,#N/A,FALSE,"GGOVT%"}</definedName>
    <definedName name="wrn.INCOMETX." localSheetId="14" hidden="1">{#N/A,#N/A,FALSE,"INCOMETX"}</definedName>
    <definedName name="wrn.INCOMETX." hidden="1">{#N/A,#N/A,FALSE,"INCOMETX"}</definedName>
    <definedName name="wrn.Input._.and._.output._.tables." localSheetId="14"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INTERST." localSheetId="14" hidden="1">{#N/A,#N/A,FALSE,"INTERST"}</definedName>
    <definedName name="wrn.INTERST." hidden="1">{#N/A,#N/A,FALSE,"INTERST"}</definedName>
    <definedName name="wrn.JANSEP97." localSheetId="14" hidden="1">{#N/A,#N/A,FALSE,"COVER";"sep97",#N/A,FALSE,"CGovmt";"sep97",#N/A,FALSE,"RONFPS";"sep97",#N/A,FALSE,"CONSNFPS";"sep97",#N/A,FALSE,"NFPSFIN";"sep97",#N/A,FALSE,"CENTBANK";"sep97",#N/A,FALSE,"COMBANKS";"sep97",#N/A,FALSE,"BSYSTEM";"sep97",#N/A,FALSE,"NBANKFINST";"sep97",#N/A,FALSE,"FSYSTEM";"sep97",#N/A,FALSE,"MONAGGREG";"sep97",#N/A,FALSE,"BOP";"sep97",#N/A,FALSE,"PERCRITERIA";"sep97",#N/A,FALSE,"SRCGOVT";"sep97",#N/A,FALSE,"SRNFPS"}</definedName>
    <definedName name="wrn.JANSEP97." hidden="1">{#N/A,#N/A,FALSE,"COVER";"sep97",#N/A,FALSE,"CGovmt";"sep97",#N/A,FALSE,"RONFPS";"sep97",#N/A,FALSE,"CONSNFPS";"sep97",#N/A,FALSE,"NFPSFIN";"sep97",#N/A,FALSE,"CENTBANK";"sep97",#N/A,FALSE,"COMBANKS";"sep97",#N/A,FALSE,"BSYSTEM";"sep97",#N/A,FALSE,"NBANKFINST";"sep97",#N/A,FALSE,"FSYSTEM";"sep97",#N/A,FALSE,"MONAGGREG";"sep97",#N/A,FALSE,"BOP";"sep97",#N/A,FALSE,"PERCRITERIA";"sep97",#N/A,FALSE,"SRCGOVT";"sep97",#N/A,FALSE,"SRNFPS"}</definedName>
    <definedName name="wrn.MAIN." localSheetId="14" hidden="1">{#N/A,#N/A,FALSE,"CB";#N/A,#N/A,FALSE,"CMB";#N/A,#N/A,FALSE,"BSYS";#N/A,#N/A,FALSE,"NBFI";#N/A,#N/A,FALSE,"FSYS"}</definedName>
    <definedName name="wrn.MAIN." hidden="1">{#N/A,#N/A,FALSE,"CB";#N/A,#N/A,FALSE,"CMB";#N/A,#N/A,FALSE,"BSYS";#N/A,#N/A,FALSE,"NBFI";#N/A,#N/A,FALSE,"FSYS"}</definedName>
    <definedName name="wrn.Main._.Economic._.Indicators." localSheetId="14" hidden="1">{"Main Economic Indicators",#N/A,FALSE,"C"}</definedName>
    <definedName name="wrn.Main._.Economic._.Indicators." hidden="1">{"Main Economic Indicators",#N/A,FALSE,"C"}</definedName>
    <definedName name="wrn.MDABOP." localSheetId="14"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IT." localSheetId="14" hidden="1">{#N/A,#N/A,FALSE,"CONTENTS";#N/A,#N/A,FALSE,"BOP";#N/A,#N/A,FALSE,"EXP";#N/A,#N/A,FALSE,"EXPG";#N/A,#N/A,FALSE,"EXPP";#N/A,#N/A,FALSE,"IMP";#N/A,#N/A,FALSE,"TOT";#N/A,#N/A,FALSE,"SERV";#N/A,#N/A,FALSE,"TRAN";#N/A,#N/A,FALSE,"DEBT"}</definedName>
    <definedName name="wrn.MIT." hidden="1">{#N/A,#N/A,FALSE,"CONTENTS";#N/A,#N/A,FALSE,"BOP";#N/A,#N/A,FALSE,"EXP";#N/A,#N/A,FALSE,"EXPG";#N/A,#N/A,FALSE,"EXPP";#N/A,#N/A,FALSE,"IMP";#N/A,#N/A,FALSE,"TOT";#N/A,#N/A,FALSE,"SERV";#N/A,#N/A,FALSE,"TRAN";#N/A,#N/A,FALSE,"DEBT"}</definedName>
    <definedName name="wrn.MONA." localSheetId="14" hidden="1">{"MONA",#N/A,FALSE,"S"}</definedName>
    <definedName name="wrn.MONA." hidden="1">{"MONA",#N/A,FALSE,"S"}</definedName>
    <definedName name="wrn.Monthsheet." localSheetId="14" hidden="1">{"Minpmon",#N/A,FALSE,"Monthinput"}</definedName>
    <definedName name="wrn.Monthsheet." hidden="1">{"Minpmon",#N/A,FALSE,"Monthinput"}</definedName>
    <definedName name="wrn.MS." localSheetId="14" hidden="1">{#N/A,#N/A,FALSE,"MS"}</definedName>
    <definedName name="wrn.MS." hidden="1">{#N/A,#N/A,FALSE,"MS"}</definedName>
    <definedName name="wrn.mterm." localSheetId="14" hidden="1">{"mt1",#N/A,FALSE,"Debt";"mt2",#N/A,FALSE,"Debt";"mt3",#N/A,FALSE,"Debt";"mt4",#N/A,FALSE,"Debt";"mt5",#N/A,FALSE,"Debt";"mt6",#N/A,FALSE,"Debt";"mt7",#N/A,FALSE,"Debt"}</definedName>
    <definedName name="wrn.mterm." hidden="1">{"mt1",#N/A,FALSE,"Debt";"mt2",#N/A,FALSE,"Debt";"mt3",#N/A,FALSE,"Debt";"mt4",#N/A,FALSE,"Debt";"mt5",#N/A,FALSE,"Debt";"mt6",#N/A,FALSE,"Debt";"mt7",#N/A,FALSE,"Debt"}</definedName>
    <definedName name="wrn.NBG." localSheetId="14" hidden="1">{#N/A,#N/A,FALSE,"NBG"}</definedName>
    <definedName name="wrn.NBG." hidden="1">{#N/A,#N/A,FALSE,"NBG"}</definedName>
    <definedName name="wrn.NFPS._.GDP." localSheetId="14" hidden="1">{#N/A,#N/A,FALSE,"NFPS GDP"}</definedName>
    <definedName name="wrn.NFPS._.GDP." hidden="1">{#N/A,#N/A,FALSE,"NFPS GDP"}</definedName>
    <definedName name="wrn.OECD._.Tables." localSheetId="14" hidden="1">{"Table 1",#N/A,FALSE,"Final Tables % GDP";"Table 2",#N/A,FALSE,"Final Tables % GDP"}</definedName>
    <definedName name="wrn.OECD._.Tables." hidden="1">{"Table 1",#N/A,FALSE,"Final Tables % GDP";"Table 2",#N/A,FALSE,"Final Tables % GDP"}</definedName>
    <definedName name="wrn.original." localSheetId="14" hidden="1">{"Original",#N/A,FALSE,"CENTBANK";"Original",#N/A,FALSE,"COMBANKS"}</definedName>
    <definedName name="wrn.original." hidden="1">{"Original",#N/A,FALSE,"CENTBANK";"Original",#N/A,FALSE,"COMBANKS"}</definedName>
    <definedName name="wrn.Output._.tables." localSheetId="14" hidden="1">{#N/A,#N/A,FALSE,"I";#N/A,#N/A,FALSE,"J";#N/A,#N/A,FALSE,"K";#N/A,#N/A,FALSE,"L";#N/A,#N/A,FALSE,"M";#N/A,#N/A,FALSE,"N";#N/A,#N/A,FALSE,"O"}</definedName>
    <definedName name="wrn.Output._.tables." hidden="1">{#N/A,#N/A,FALSE,"I";#N/A,#N/A,FALSE,"J";#N/A,#N/A,FALSE,"K";#N/A,#N/A,FALSE,"L";#N/A,#N/A,FALSE,"M";#N/A,#N/A,FALSE,"N";#N/A,#N/A,FALSE,"O"}</definedName>
    <definedName name="wrn.PCPI." localSheetId="14" hidden="1">{#N/A,#N/A,FALSE,"PCPI"}</definedName>
    <definedName name="wrn.PCPI." hidden="1">{#N/A,#N/A,FALSE,"PCPI"}</definedName>
    <definedName name="wrn.PENSION." localSheetId="14" hidden="1">{#N/A,#N/A,FALSE,"PENSION"}</definedName>
    <definedName name="wrn.PENSION." hidden="1">{#N/A,#N/A,FALSE,"PENSION"}</definedName>
    <definedName name="wrn.Program." localSheetId="14" hidden="1">{"Tab1",#N/A,FALSE,"P";"Tab2",#N/A,FALSE,"P"}</definedName>
    <definedName name="wrn.Program." hidden="1">{"Tab1",#N/A,FALSE,"P";"Tab2",#N/A,FALSE,"P"}</definedName>
    <definedName name="wrn.PRUDENT." localSheetId="14" hidden="1">{#N/A,#N/A,FALSE,"PRUDENT"}</definedName>
    <definedName name="wrn.PRUDENT." hidden="1">{#N/A,#N/A,FALSE,"PRUDENT"}</definedName>
    <definedName name="wrn.PUBLEXP." localSheetId="14" hidden="1">{#N/A,#N/A,FALSE,"PUBLEXP"}</definedName>
    <definedName name="wrn.PUBLEXP." hidden="1">{#N/A,#N/A,FALSE,"PUBLEXP"}</definedName>
    <definedName name="wrn.quarters._.98." localSheetId="14" hidden="1">{"qu98",#N/A,FALSE,"CGovmt";"qu98",#N/A,FALSE,"RONFPS";"qu98",#N/A,FALSE,"CONSNFPS";"qu98",#N/A,FALSE,"NFPSFIN";"qu98",#N/A,FALSE,"CENTBANK";"qu98",#N/A,FALSE,"COMBANKS";"qu98",#N/A,FALSE,"BSYSTEM";"qu98",#N/A,FALSE,"NBANKFINST";"qu98",#N/A,FALSE,"FSYSTEM";"qu98",#N/A,FALSE,"MONAGGREG";"qu98",#N/A,FALSE,"BOP";"qu98",#N/A,FALSE,"SRCGOVT";"qu98",#N/A,FALSE,"SRNFPS";"qu98 (Deflator)",#N/A,FALSE,"Deflator";"qu98 (CPI)",#N/A,FALSE,"CPI"}</definedName>
    <definedName name="wrn.quarters._.98." hidden="1">{"qu98",#N/A,FALSE,"CGovmt";"qu98",#N/A,FALSE,"RONFPS";"qu98",#N/A,FALSE,"CONSNFPS";"qu98",#N/A,FALSE,"NFPSFIN";"qu98",#N/A,FALSE,"CENTBANK";"qu98",#N/A,FALSE,"COMBANKS";"qu98",#N/A,FALSE,"BSYSTEM";"qu98",#N/A,FALSE,"NBANKFINST";"qu98",#N/A,FALSE,"FSYSTEM";"qu98",#N/A,FALSE,"MONAGGREG";"qu98",#N/A,FALSE,"BOP";"qu98",#N/A,FALSE,"SRCGOVT";"qu98",#N/A,FALSE,"SRNFPS";"qu98 (Deflator)",#N/A,FALSE,"Deflator";"qu98 (CPI)",#N/A,FALSE,"CPI"}</definedName>
    <definedName name="wrn.RED97MON." localSheetId="14" hidden="1">{"CBA",#N/A,FALSE,"TAB4";"MS",#N/A,FALSE,"TAB5";"BANKLOANS",#N/A,FALSE,"TAB21APP ";"INTEREST",#N/A,FALSE,"TAB22APP"}</definedName>
    <definedName name="wrn.RED97MON." hidden="1">{"CBA",#N/A,FALSE,"TAB4";"MS",#N/A,FALSE,"TAB5";"BANKLOANS",#N/A,FALSE,"TAB21APP ";"INTEREST",#N/A,FALSE,"TAB22APP"}</definedName>
    <definedName name="wrn.REDTABS." localSheetId="14"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pred." localSheetId="14" hidden="1">{"bop94-99",#N/A,FALSE,"BOP";"bgdp94-99",#N/A,FALSE,"BOPGDP";"exp94-99",#N/A,FALSE,"EXP";"imp94-99",#N/A,FALSE,"IMP";"tt9499",#N/A,FALSE,"TT";"ss94-99",#N/A,FALSE,"SERV";"tran94-99",#N/A,FALSE,"TRAN";"dis95-98",#N/A,FALSE,"DISB";"amor94-99",#N/A,FALSE,"AMOR";"int94-98",#N/A,FALSE,"INT";"debt94-99",#N/A,FALSE,"DEBT"}</definedName>
    <definedName name="wrn.repred." hidden="1">{"bop94-99",#N/A,FALSE,"BOP";"bgdp94-99",#N/A,FALSE,"BOPGDP";"exp94-99",#N/A,FALSE,"EXP";"imp94-99",#N/A,FALSE,"IMP";"tt9499",#N/A,FALSE,"TT";"ss94-99",#N/A,FALSE,"SERV";"tran94-99",#N/A,FALSE,"TRAN";"dis95-98",#N/A,FALSE,"DISB";"amor94-99",#N/A,FALSE,"AMOR";"int94-98",#N/A,FALSE,"INT";"debt94-99",#N/A,FALSE,"DEBT"}</definedName>
    <definedName name="wrn.RestGGPIB." localSheetId="14" hidden="1">{#N/A,#N/A,FALSE,"RestGGPIB"}</definedName>
    <definedName name="wrn.RestGGPIB." hidden="1">{#N/A,#N/A,FALSE,"RestGGPIB"}</definedName>
    <definedName name="wrn.REVSHARE." localSheetId="14" hidden="1">{#N/A,#N/A,FALSE,"REVSHARE"}</definedName>
    <definedName name="wrn.REVSHARE." hidden="1">{#N/A,#N/A,FALSE,"REVSHARE"}</definedName>
    <definedName name="wrn.Riqfin." localSheetId="14" hidden="1">{"Riqfin97",#N/A,FALSE,"Tran";"Riqfinpro",#N/A,FALSE,"Tran"}</definedName>
    <definedName name="wrn.Riqfin." hidden="1">{"Riqfin97",#N/A,FALSE,"Tran";"Riqfinpro",#N/A,FALSE,"Tran"}</definedName>
    <definedName name="wrn.sreport9899." localSheetId="14" hidden="1">{#N/A,#N/A,TRUE,"COVER";"srsep98",#N/A,TRUE,"CGovmt";"percentages",#N/A,TRUE,"CGovmt";"srsep98",#N/A,TRUE,"RONFPS";"percentages",#N/A,TRUE,"RONFPS";"srsep98",#N/A,TRUE,"CONSNFPS";"percentages",#N/A,TRUE,"CONSNFPS";"srsep98",#N/A,TRUE,"SRCGOVT";"srsep98",#N/A,TRUE,"SRNFPS";"srsep98",#N/A,TRUE,"NFPSFIN";"percentages",#N/A,TRUE,"NFPSFIN";"srsep98",#N/A,TRUE,"CENTBANK";"srsep98",#N/A,TRUE,"COMBANKS";"srsep98",#N/A,TRUE,"BSYSTEM";"srsep98",#N/A,TRUE,"NBANKFINST";"srsep98",#N/A,TRUE,"FSYSTEM";"srsep98",#N/A,TRUE,"MONAGGREG";"srsep98",#N/A,TRUE,"SRFSYSCRED";"srsep98",#N/A,TRUE,"SRFSYSTEM";"srsep98",#N/A,TRUE,"MACFLOWS";"srsep98",#N/A,TRUE,"SELINDICATORS";"srsep98",#N/A,TRUE,"Deflator";"srsep98",#N/A,TRUE,"PERCRITERIA";"srsep98",#N/A,TRUE,"CPI"}</definedName>
    <definedName name="wrn.sreport9899." hidden="1">{#N/A,#N/A,TRUE,"COVER";"srsep98",#N/A,TRUE,"CGovmt";"percentages",#N/A,TRUE,"CGovmt";"srsep98",#N/A,TRUE,"RONFPS";"percentages",#N/A,TRUE,"RONFPS";"srsep98",#N/A,TRUE,"CONSNFPS";"percentages",#N/A,TRUE,"CONSNFPS";"srsep98",#N/A,TRUE,"SRCGOVT";"srsep98",#N/A,TRUE,"SRNFPS";"srsep98",#N/A,TRUE,"NFPSFIN";"percentages",#N/A,TRUE,"NFPSFIN";"srsep98",#N/A,TRUE,"CENTBANK";"srsep98",#N/A,TRUE,"COMBANKS";"srsep98",#N/A,TRUE,"BSYSTEM";"srsep98",#N/A,TRUE,"NBANKFINST";"srsep98",#N/A,TRUE,"FSYSTEM";"srsep98",#N/A,TRUE,"MONAGGREG";"srsep98",#N/A,TRUE,"SRFSYSCRED";"srsep98",#N/A,TRUE,"SRFSYSTEM";"srsep98",#N/A,TRUE,"MACFLOWS";"srsep98",#N/A,TRUE,"SELINDICATORS";"srsep98",#N/A,TRUE,"Deflator";"srsep98",#N/A,TRUE,"PERCRITERIA";"srsep98",#N/A,TRUE,"CPI"}</definedName>
    <definedName name="wrn.SSPIB." localSheetId="14" hidden="1">{#N/A,#N/A,FALSE,"SSPIB"}</definedName>
    <definedName name="wrn.SSPIB." hidden="1">{#N/A,#N/A,FALSE,"SSPIB"}</definedName>
    <definedName name="wrn.Staff._.Report._.Tables." localSheetId="14" hidden="1">{#N/A,#N/A,FALSE,"SR1";#N/A,#N/A,FALSE,"SR2";#N/A,#N/A,FALSE,"SR3";#N/A,#N/A,FALSE,"SR4"}</definedName>
    <definedName name="wrn.Staff._.Report._.Tables." hidden="1">{#N/A,#N/A,FALSE,"SR1";#N/A,#N/A,FALSE,"SR2";#N/A,#N/A,FALSE,"SR3";#N/A,#N/A,FALSE,"SR4"}</definedName>
    <definedName name="wrn.STAFF_REPORT_TABLES." localSheetId="14" hidden="1">{"SR_tbs",#N/A,FALSE,"MGSSEI";"SR_tbs",#N/A,FALSE,"MGSBOX";"SR_tbs",#N/A,FALSE,"MGSOCIND"}</definedName>
    <definedName name="wrn.STAFF_REPORT_TABLES." hidden="1">{"SR_tbs",#N/A,FALSE,"MGSSEI";"SR_tbs",#N/A,FALSE,"MGSBOX";"SR_tbs",#N/A,FALSE,"MGSOCIND"}</definedName>
    <definedName name="wrn.staffreport." localSheetId="14" hidden="1">{#N/A,#N/A,FALSE,"slvsrtb1";#N/A,#N/A,FALSE,"slvsrtb2";#N/A,#N/A,FALSE,"slvsrtb3";#N/A,#N/A,FALSE,"slvsrtb4";#N/A,#N/A,FALSE,"slvsrtb5";#N/A,#N/A,FALSE,"slvsrtb6";#N/A,#N/A,FALSE,"slvsrtb7";#N/A,#N/A,FALSE,"slvsrtb8";#N/A,#N/A,FALSE,"slvsrtb9";#N/A,#N/A,FALSE,"slvsrtb10";#N/A,#N/A,FALSE,"slvsrtb12"}</definedName>
    <definedName name="wrn.staffreport." hidden="1">{#N/A,#N/A,FALSE,"slvsrtb1";#N/A,#N/A,FALSE,"slvsrtb2";#N/A,#N/A,FALSE,"slvsrtb3";#N/A,#N/A,FALSE,"slvsrtb4";#N/A,#N/A,FALSE,"slvsrtb5";#N/A,#N/A,FALSE,"slvsrtb6";#N/A,#N/A,FALSE,"slvsrtb7";#N/A,#N/A,FALSE,"slvsrtb8";#N/A,#N/A,FALSE,"slvsrtb9";#N/A,#N/A,FALSE,"slvsrtb10";#N/A,#N/A,FALSE,"slvsrtb12"}</definedName>
    <definedName name="wrn.STATE." localSheetId="14" hidden="1">{#N/A,#N/A,FALSE,"STATE"}</definedName>
    <definedName name="wrn.STATE." hidden="1">{#N/A,#N/A,FALSE,"STATE"}</definedName>
    <definedName name="wrn.suma." localSheetId="14" hidden="1">{"macroa",#N/A,FALSE,"Macro";"suma2",#N/A,FALSE,"Data";"suma3",#N/A,FALSE,"Data";"suma4",#N/A,FALSE,"Data";"suma5",#N/A,FALSE,"Data";"suma6",#N/A,FALSE,"Data";"suma7",#N/A,FALSE,"Data";"suma8",#N/A,FALSE,"Data";"suma9",#N/A,FALSE,"Data"}</definedName>
    <definedName name="wrn.suma." hidden="1">{"macroa",#N/A,FALSE,"Macro";"suma2",#N/A,FALSE,"Data";"suma3",#N/A,FALSE,"Data";"suma4",#N/A,FALSE,"Data";"suma5",#N/A,FALSE,"Data";"suma6",#N/A,FALSE,"Data";"suma7",#N/A,FALSE,"Data";"suma8",#N/A,FALSE,"Data";"suma9",#N/A,FALSE,"Data"}</definedName>
    <definedName name="wrn.sumq." localSheetId="14" hidden="1">{"macro",#N/A,FALSE,"Macro";"smq2",#N/A,FALSE,"Data";"smq3",#N/A,FALSE,"Data";"smq4",#N/A,FALSE,"Data";"smq5",#N/A,FALSE,"Data";"smq6",#N/A,FALSE,"Data";"smq7",#N/A,FALSE,"Data";"smq8",#N/A,FALSE,"Data";"smq9",#N/A,FALSE,"Data"}</definedName>
    <definedName name="wrn.sumq." hidden="1">{"macro",#N/A,FALSE,"Macro";"smq2",#N/A,FALSE,"Data";"smq3",#N/A,FALSE,"Data";"smq4",#N/A,FALSE,"Data";"smq5",#N/A,FALSE,"Data";"smq6",#N/A,FALSE,"Data";"smq7",#N/A,FALSE,"Data";"smq8",#N/A,FALSE,"Data";"smq9",#N/A,FALSE,"Data"}</definedName>
    <definedName name="wrn.table1a." localSheetId="14" hidden="1">{"table1a",#N/A,FALSE,"C"}</definedName>
    <definedName name="wrn.table1a." hidden="1">{"table1a",#N/A,FALSE,"C"}</definedName>
    <definedName name="wrn.table1aa." localSheetId="14" hidden="1">{"table1a",#N/A,FALSE,"C"}</definedName>
    <definedName name="wrn.table1aa." hidden="1">{"table1a",#N/A,FALSE,"C"}</definedName>
    <definedName name="wrn.table1aaa." localSheetId="14" hidden="1">{"table1a",#N/A,FALSE,"C"}</definedName>
    <definedName name="wrn.table1aaa." hidden="1">{"table1a",#N/A,FALSE,"C"}</definedName>
    <definedName name="wrn.table1b" localSheetId="14" hidden="1">{"table1a",#N/A,FALSE,"C"}</definedName>
    <definedName name="wrn.table1b" hidden="1">{"table1a",#N/A,FALSE,"C"}</definedName>
    <definedName name="wrn.table1q." localSheetId="14" hidden="1">{"table1q",#N/A,FALSE,"C"}</definedName>
    <definedName name="wrn.table1q." hidden="1">{"table1q",#N/A,FALSE,"C"}</definedName>
    <definedName name="wrn.table1qq" localSheetId="14" hidden="1">{"table1q",#N/A,FALSE,"C"}</definedName>
    <definedName name="wrn.table1qq" hidden="1">{"table1q",#N/A,FALSE,"C"}</definedName>
    <definedName name="wrn.table1qqq." localSheetId="14" hidden="1">{"table1q",#N/A,FALSE,"C"}</definedName>
    <definedName name="wrn.table1qqq." hidden="1">{"table1q",#N/A,FALSE,"C"}</definedName>
    <definedName name="wrn.TAXARREARS." localSheetId="14" hidden="1">{#N/A,#N/A,FALSE,"TAXARREARS"}</definedName>
    <definedName name="wrn.TAXARREARS." hidden="1">{#N/A,#N/A,FALSE,"TAXARREARS"}</definedName>
    <definedName name="wrn.TAXPAYRS." localSheetId="14" hidden="1">{#N/A,#N/A,FALSE,"TAXPAYRS"}</definedName>
    <definedName name="wrn.TAXPAYRS." hidden="1">{#N/A,#N/A,FALSE,"TAXPAYRS"}</definedName>
    <definedName name="wrn.TRADE." localSheetId="14" hidden="1">{#N/A,#N/A,FALSE,"TRADE"}</definedName>
    <definedName name="wrn.TRADE." hidden="1">{#N/A,#N/A,FALSE,"TRADE"}</definedName>
    <definedName name="wrn.TRANSPORT." localSheetId="14" hidden="1">{#N/A,#N/A,FALSE,"TRANPORT"}</definedName>
    <definedName name="wrn.TRANSPORT." hidden="1">{#N/A,#N/A,FALSE,"TRANPORT"}</definedName>
    <definedName name="wrn.UNEMPL." localSheetId="14" hidden="1">{#N/A,#N/A,FALSE,"EMP_POP";#N/A,#N/A,FALSE,"UNEMPL"}</definedName>
    <definedName name="wrn.UNEMPL." hidden="1">{#N/A,#N/A,FALSE,"EMP_POP";#N/A,#N/A,FALSE,"UNEMPL"}</definedName>
    <definedName name="wrn.WAGES." localSheetId="14" hidden="1">{#N/A,#N/A,FALSE,"WAGES"}</definedName>
    <definedName name="wrn.WAGES." hidden="1">{#N/A,#N/A,FALSE,"WAGES"}</definedName>
    <definedName name="wrn.WEO." localSheetId="14" hidden="1">{"WEO",#N/A,FALSE,"T"}</definedName>
    <definedName name="wrn.WEO." hidden="1">{"WEO",#N/A,FALSE,"T"}</definedName>
    <definedName name="wttw">'[112]TGN Total'!$A$1:$B$54</definedName>
    <definedName name="ww" localSheetId="1" hidden="1">[110]M!#REF!</definedName>
    <definedName name="ww" localSheetId="14" hidden="1">[110]M!#REF!</definedName>
    <definedName name="ww" localSheetId="8" hidden="1">[110]M!#REF!</definedName>
    <definedName name="ww" hidden="1">[110]M!#REF!</definedName>
    <definedName name="www" localSheetId="14" hidden="1">{"bop94-99",#N/A,FALSE,"BOP";"bgdp94-99",#N/A,FALSE,"BOPGDP";"exp94-99",#N/A,FALSE,"EXP";"imp94-99",#N/A,FALSE,"IMP";"tt9499",#N/A,FALSE,"TT";"ss94-99",#N/A,FALSE,"SERV";"tran94-99",#N/A,FALSE,"TRAN";"dis95-98",#N/A,FALSE,"DISB";"amor94-99",#N/A,FALSE,"AMOR";"int94-98",#N/A,FALSE,"INT";"debt94-99",#N/A,FALSE,"DEBT"}</definedName>
    <definedName name="www" hidden="1">{"bop94-99",#N/A,FALSE,"BOP";"bgdp94-99",#N/A,FALSE,"BOPGDP";"exp94-99",#N/A,FALSE,"EXP";"imp94-99",#N/A,FALSE,"IMP";"tt9499",#N/A,FALSE,"TT";"ss94-99",#N/A,FALSE,"SERV";"tran94-99",#N/A,FALSE,"TRAN";"dis95-98",#N/A,FALSE,"DISB";"amor94-99",#N/A,FALSE,"AMOR";"int94-98",#N/A,FALSE,"INT";"debt94-99",#N/A,FALSE,"DEBT"}</definedName>
    <definedName name="wwwjjj" localSheetId="14" hidden="1">{#N/A,#N/A,FALSE,"slvsrtb1";#N/A,#N/A,FALSE,"slvsrtb2";#N/A,#N/A,FALSE,"slvsrtb3";#N/A,#N/A,FALSE,"slvsrtb4";#N/A,#N/A,FALSE,"slvsrtb5";#N/A,#N/A,FALSE,"slvsrtb6";#N/A,#N/A,FALSE,"slvsrtb7";#N/A,#N/A,FALSE,"slvsrtb8";#N/A,#N/A,FALSE,"slvsrtb9";#N/A,#N/A,FALSE,"slvsrtb10";#N/A,#N/A,FALSE,"slvsrtb12"}</definedName>
    <definedName name="wwwjjj" hidden="1">{#N/A,#N/A,FALSE,"slvsrtb1";#N/A,#N/A,FALSE,"slvsrtb2";#N/A,#N/A,FALSE,"slvsrtb3";#N/A,#N/A,FALSE,"slvsrtb4";#N/A,#N/A,FALSE,"slvsrtb5";#N/A,#N/A,FALSE,"slvsrtb6";#N/A,#N/A,FALSE,"slvsrtb7";#N/A,#N/A,FALSE,"slvsrtb8";#N/A,#N/A,FALSE,"slvsrtb9";#N/A,#N/A,FALSE,"slvsrtb10";#N/A,#N/A,FALSE,"slvsrtb12"}</definedName>
    <definedName name="wwww" localSheetId="1" hidden="1">[110]M!#REF!</definedName>
    <definedName name="wwww" localSheetId="8" hidden="1">[110]M!#REF!</definedName>
    <definedName name="wwww" hidden="1">[110]M!#REF!</definedName>
    <definedName name="wwwww" localSheetId="1" hidden="1">'[68]Eje 2004'!#REF!</definedName>
    <definedName name="wwwww" localSheetId="8" hidden="1">'[68]Eje 2004'!#REF!</definedName>
    <definedName name="wwwww" hidden="1">'[68]Eje 2004'!#REF!</definedName>
    <definedName name="wwwwwww" localSheetId="14" hidden="1">{"Riqfin97",#N/A,FALSE,"Tran";"Riqfinpro",#N/A,FALSE,"Tran"}</definedName>
    <definedName name="wwwwwww" hidden="1">{"Riqfin97",#N/A,FALSE,"Tran";"Riqfinpro",#N/A,FALSE,"Tran"}</definedName>
    <definedName name="wwwwwwww" localSheetId="14" hidden="1">{"Tab1",#N/A,FALSE,"P";"Tab2",#N/A,FALSE,"P"}</definedName>
    <definedName name="wwwwwwww" hidden="1">{"Tab1",#N/A,FALSE,"P";"Tab2",#N/A,FALSE,"P"}</definedName>
    <definedName name="wwwwwwwwwww" localSheetId="1" hidden="1">[37]Retroactivos!#REF!</definedName>
    <definedName name="wwwwwwwwwww" localSheetId="8" hidden="1">[37]Retroactivos!#REF!</definedName>
    <definedName name="wwwwwwwwwww" hidden="1">[37]Retroactivos!#REF!</definedName>
    <definedName name="wwwwwwwwwwwwww" localSheetId="1" hidden="1">[37]Retroactivos!#REF!</definedName>
    <definedName name="wwwwwwwwwwwwww" localSheetId="8" hidden="1">[37]Retroactivos!#REF!</definedName>
    <definedName name="wwwwwwwwwwwwww" hidden="1">[37]Retroactivos!#REF!</definedName>
    <definedName name="X" localSheetId="1" hidden="1">'[68]Eje 2004'!#REF!</definedName>
    <definedName name="X" localSheetId="8" hidden="1">'[68]Eje 2004'!#REF!</definedName>
    <definedName name="X" hidden="1">'[68]Eje 2004'!#REF!</definedName>
    <definedName name="xa" localSheetId="1">'[113]PIB EN CORR'!#REF!</definedName>
    <definedName name="xa" localSheetId="8">'[113]PIB EN CORR'!#REF!</definedName>
    <definedName name="xa">'[113]PIB EN CORR'!#REF!</definedName>
    <definedName name="xaa">'[113]PIB EN CORR'!$AV$5:$AV$77</definedName>
    <definedName name="xbb" localSheetId="1">'[113]PIB EN CORR'!#REF!</definedName>
    <definedName name="xbb" localSheetId="14">'[113]PIB EN CORR'!#REF!</definedName>
    <definedName name="xbb" localSheetId="8">'[113]PIB EN CORR'!#REF!</definedName>
    <definedName name="xbb">'[113]PIB EN CORR'!#REF!</definedName>
    <definedName name="XBS">[62]SREAL!A$41</definedName>
    <definedName name="XCMB" localSheetId="1">#REF!</definedName>
    <definedName name="XCMB" localSheetId="14">#REF!</definedName>
    <definedName name="XCMB" localSheetId="8">#REF!</definedName>
    <definedName name="XCMB">#REF!</definedName>
    <definedName name="xcnvxvnxn" localSheetId="1">#REF!</definedName>
    <definedName name="xcnvxvnxn" localSheetId="14">#REF!</definedName>
    <definedName name="xcnvxvnxn" localSheetId="8">#REF!</definedName>
    <definedName name="xcnvxvnxn">#REF!</definedName>
    <definedName name="XCOOP" localSheetId="1">#REF!</definedName>
    <definedName name="XCOOP" localSheetId="14">#REF!</definedName>
    <definedName name="XCOOP" localSheetId="8">#REF!</definedName>
    <definedName name="XCOOP">#REF!</definedName>
    <definedName name="xcvbxcv" localSheetId="1">#REF!</definedName>
    <definedName name="xcvbxcv" localSheetId="8">#REF!</definedName>
    <definedName name="xcvbxcv">#REF!</definedName>
    <definedName name="XDEP" localSheetId="1">#REF!</definedName>
    <definedName name="XDEP" localSheetId="8">#REF!</definedName>
    <definedName name="XDEP">#REF!</definedName>
    <definedName name="xdr" localSheetId="1">#REF!</definedName>
    <definedName name="xdr" localSheetId="8">#REF!</definedName>
    <definedName name="xdr">#REF!</definedName>
    <definedName name="XGS" localSheetId="1">#REF!</definedName>
    <definedName name="XGS" localSheetId="8">#REF!</definedName>
    <definedName name="XGS">#REF!</definedName>
    <definedName name="XMETAL" localSheetId="1">#REF!</definedName>
    <definedName name="XMETAL" localSheetId="8">#REF!</definedName>
    <definedName name="XMETAL">#REF!</definedName>
    <definedName name="XMMED" localSheetId="1">#REF!</definedName>
    <definedName name="XMMED" localSheetId="8">#REF!</definedName>
    <definedName name="XMMED">#REF!</definedName>
    <definedName name="xr" localSheetId="1">#REF!</definedName>
    <definedName name="xr" localSheetId="8">#REF!</definedName>
    <definedName name="xr">#REF!</definedName>
    <definedName name="XRTA" localSheetId="1">#REF!</definedName>
    <definedName name="XRTA" localSheetId="8">#REF!</definedName>
    <definedName name="XRTA">#REF!</definedName>
    <definedName name="xvbx">'[70]4'!$A$1</definedName>
    <definedName name="xvbxvb">'[70]28'!$A$1</definedName>
    <definedName name="xvcbxvbxv">'[70]17'!$A$1</definedName>
    <definedName name="xx" localSheetId="14" hidden="1">{"Riqfin97",#N/A,FALSE,"Tran";"Riqfinpro",#N/A,FALSE,"Tran"}</definedName>
    <definedName name="xx" hidden="1">{"Riqfin97",#N/A,FALSE,"Tran";"Riqfinpro",#N/A,FALSE,"Tran"}</definedName>
    <definedName name="xxWRS_1">'[114]Shared Data'!$A$1:$A$77</definedName>
    <definedName name="xxx" localSheetId="1" hidden="1">[86]Retroactivos!#REF!</definedName>
    <definedName name="xxx" localSheetId="14" hidden="1">[86]Retroactivos!#REF!</definedName>
    <definedName name="xxx" localSheetId="8" hidden="1">[86]Retroactivos!#REF!</definedName>
    <definedName name="xxx" hidden="1">[86]Retroactivos!#REF!</definedName>
    <definedName name="XXXX" localSheetId="1">#REF!</definedName>
    <definedName name="XXXX" localSheetId="14">#REF!</definedName>
    <definedName name="XXXX" localSheetId="8">#REF!</definedName>
    <definedName name="XXXX">#REF!</definedName>
    <definedName name="XXXXXXXX" localSheetId="1">#REF!</definedName>
    <definedName name="XXXXXXXX" localSheetId="14">#REF!</definedName>
    <definedName name="XXXXXXXX" localSheetId="8">#REF!</definedName>
    <definedName name="XXXXXXXX">#REF!</definedName>
    <definedName name="xxxxxxxxxxxxxx" localSheetId="14" hidden="1">{"Riqfin97",#N/A,FALSE,"Tran";"Riqfinpro",#N/A,FALSE,"Tran"}</definedName>
    <definedName name="xxxxxxxxxxxxxx" hidden="1">{"Riqfin97",#N/A,FALSE,"Tran";"Riqfinpro",#N/A,FALSE,"Tran"}</definedName>
    <definedName name="y" localSheetId="1">#REF!</definedName>
    <definedName name="y" localSheetId="14">#REF!</definedName>
    <definedName name="y" localSheetId="8">#REF!</definedName>
    <definedName name="y">#REF!</definedName>
    <definedName name="Year" localSheetId="1">#REF!</definedName>
    <definedName name="Year" localSheetId="14">#REF!</definedName>
    <definedName name="Year" localSheetId="8">#REF!</definedName>
    <definedName name="Year">#REF!</definedName>
    <definedName name="YPFB__Impuestos_varios_UFIC" localSheetId="1">#REF!</definedName>
    <definedName name="YPFB__Impuestos_varios_UFIC" localSheetId="14">#REF!</definedName>
    <definedName name="YPFB__Impuestos_varios_UFIC" localSheetId="8">#REF!</definedName>
    <definedName name="YPFB__Impuestos_varios_UFIC">#REF!</definedName>
    <definedName name="YPFB_ANDINA_S.A." localSheetId="1">#REF!</definedName>
    <definedName name="YPFB_ANDINA_S.A." localSheetId="8">#REF!</definedName>
    <definedName name="YPFB_ANDINA_S.A.">#REF!</definedName>
    <definedName name="yu" localSheetId="14" hidden="1">{"Tab1",#N/A,FALSE,"P";"Tab2",#N/A,FALSE,"P"}</definedName>
    <definedName name="yu" hidden="1">{"Tab1",#N/A,FALSE,"P";"Tab2",#N/A,FALSE,"P"}</definedName>
    <definedName name="yuyy" localSheetId="1">'[64]PAPE-98'!#REF!</definedName>
    <definedName name="yuyy" localSheetId="8">'[64]PAPE-98'!#REF!</definedName>
    <definedName name="yuyy">'[64]PAPE-98'!#REF!</definedName>
    <definedName name="yy" localSheetId="14" hidden="1">{"Tab1",#N/A,FALSE,"P";"Tab2",#N/A,FALSE,"P"}</definedName>
    <definedName name="yy" hidden="1">{"Tab1",#N/A,FALSE,"P";"Tab2",#N/A,FALSE,"P"}</definedName>
    <definedName name="yyy" localSheetId="14" hidden="1">{"Tab1",#N/A,FALSE,"P";"Tab2",#N/A,FALSE,"P"}</definedName>
    <definedName name="yyy" hidden="1">{"Tab1",#N/A,FALSE,"P";"Tab2",#N/A,FALSE,"P"}</definedName>
    <definedName name="yyyy" localSheetId="14" hidden="1">{"Tab1",#N/A,FALSE,"P";"Tab2",#N/A,FALSE,"P"}</definedName>
    <definedName name="yyyy" hidden="1">{"Tab1",#N/A,FALSE,"P";"Tab2",#N/A,FALSE,"P"}</definedName>
    <definedName name="yyyyyy" localSheetId="14" hidden="1">{"Minpmon",#N/A,FALSE,"Monthinput"}</definedName>
    <definedName name="yyyyyy" hidden="1">{"Minpmon",#N/A,FALSE,"Monthinput"}</definedName>
    <definedName name="Z" localSheetId="1" hidden="1">[37]Retroactivos!#REF!</definedName>
    <definedName name="Z" localSheetId="8" hidden="1">[37]Retroactivos!#REF!</definedName>
    <definedName name="Z" hidden="1">[37]Retroactivos!#REF!</definedName>
    <definedName name="Z_1A8C061B_2301_11D3_BFD1_000039E37209_.wvu.Cols" localSheetId="1" hidden="1">#REF!,#REF!,#REF!</definedName>
    <definedName name="Z_1A8C061B_2301_11D3_BFD1_000039E37209_.wvu.Cols" localSheetId="14" hidden="1">#REF!,#REF!,#REF!</definedName>
    <definedName name="Z_1A8C061B_2301_11D3_BFD1_000039E37209_.wvu.Cols" localSheetId="8" hidden="1">#REF!,#REF!,#REF!</definedName>
    <definedName name="Z_1A8C061B_2301_11D3_BFD1_000039E37209_.wvu.Cols" hidden="1">#REF!,#REF!,#REF!</definedName>
    <definedName name="Z_1A8C061B_2301_11D3_BFD1_000039E37209_.wvu.Rows" localSheetId="1" hidden="1">#REF!,#REF!,#REF!</definedName>
    <definedName name="Z_1A8C061B_2301_11D3_BFD1_000039E37209_.wvu.Rows" localSheetId="14" hidden="1">#REF!,#REF!,#REF!</definedName>
    <definedName name="Z_1A8C061B_2301_11D3_BFD1_000039E37209_.wvu.Rows" localSheetId="8" hidden="1">#REF!,#REF!,#REF!</definedName>
    <definedName name="Z_1A8C061B_2301_11D3_BFD1_000039E37209_.wvu.Rows" hidden="1">#REF!,#REF!,#REF!</definedName>
    <definedName name="Z_1A8C061C_2301_11D3_BFD1_000039E37209_.wvu.Cols" localSheetId="1" hidden="1">#REF!,#REF!,#REF!</definedName>
    <definedName name="Z_1A8C061C_2301_11D3_BFD1_000039E37209_.wvu.Cols" localSheetId="14" hidden="1">#REF!,#REF!,#REF!</definedName>
    <definedName name="Z_1A8C061C_2301_11D3_BFD1_000039E37209_.wvu.Cols" localSheetId="8" hidden="1">#REF!,#REF!,#REF!</definedName>
    <definedName name="Z_1A8C061C_2301_11D3_BFD1_000039E37209_.wvu.Cols" hidden="1">#REF!,#REF!,#REF!</definedName>
    <definedName name="Z_1A8C061C_2301_11D3_BFD1_000039E37209_.wvu.Rows" localSheetId="1" hidden="1">#REF!,#REF!,#REF!</definedName>
    <definedName name="Z_1A8C061C_2301_11D3_BFD1_000039E37209_.wvu.Rows" localSheetId="8" hidden="1">#REF!,#REF!,#REF!</definedName>
    <definedName name="Z_1A8C061C_2301_11D3_BFD1_000039E37209_.wvu.Rows" hidden="1">#REF!,#REF!,#REF!</definedName>
    <definedName name="Z_1A8C061E_2301_11D3_BFD1_000039E37209_.wvu.Cols" localSheetId="1" hidden="1">#REF!,#REF!,#REF!</definedName>
    <definedName name="Z_1A8C061E_2301_11D3_BFD1_000039E37209_.wvu.Cols" localSheetId="8" hidden="1">#REF!,#REF!,#REF!</definedName>
    <definedName name="Z_1A8C061E_2301_11D3_BFD1_000039E37209_.wvu.Cols" hidden="1">#REF!,#REF!,#REF!</definedName>
    <definedName name="Z_1A8C061E_2301_11D3_BFD1_000039E37209_.wvu.Rows" localSheetId="1" hidden="1">#REF!,#REF!,#REF!</definedName>
    <definedName name="Z_1A8C061E_2301_11D3_BFD1_000039E37209_.wvu.Rows" localSheetId="8" hidden="1">#REF!,#REF!,#REF!</definedName>
    <definedName name="Z_1A8C061E_2301_11D3_BFD1_000039E37209_.wvu.Rows" hidden="1">#REF!,#REF!,#REF!</definedName>
    <definedName name="Z_1A8C061F_2301_11D3_BFD1_000039E37209_.wvu.Cols" localSheetId="1" hidden="1">#REF!,#REF!,#REF!</definedName>
    <definedName name="Z_1A8C061F_2301_11D3_BFD1_000039E37209_.wvu.Cols" localSheetId="8" hidden="1">#REF!,#REF!,#REF!</definedName>
    <definedName name="Z_1A8C061F_2301_11D3_BFD1_000039E37209_.wvu.Cols" hidden="1">#REF!,#REF!,#REF!</definedName>
    <definedName name="Z_1A8C061F_2301_11D3_BFD1_000039E37209_.wvu.Rows" localSheetId="1" hidden="1">#REF!,#REF!,#REF!</definedName>
    <definedName name="Z_1A8C061F_2301_11D3_BFD1_000039E37209_.wvu.Rows" localSheetId="8" hidden="1">#REF!,#REF!,#REF!</definedName>
    <definedName name="Z_1A8C061F_2301_11D3_BFD1_000039E37209_.wvu.Rows" hidden="1">#REF!,#REF!,#REF!</definedName>
    <definedName name="Z_95224721_0485_11D4_BFD1_00508B5F4DA4_.wvu.Cols" localSheetId="1" hidden="1">#REF!</definedName>
    <definedName name="Z_95224721_0485_11D4_BFD1_00508B5F4DA4_.wvu.Cols" localSheetId="14" hidden="1">#REF!</definedName>
    <definedName name="Z_95224721_0485_11D4_BFD1_00508B5F4DA4_.wvu.Cols" localSheetId="8" hidden="1">#REF!</definedName>
    <definedName name="Z_95224721_0485_11D4_BFD1_00508B5F4DA4_.wvu.Cols" hidden="1">#REF!</definedName>
    <definedName name="zc" localSheetId="14" hidden="1">{"Riqfin97",#N/A,FALSE,"Tran";"Riqfinpro",#N/A,FALSE,"Tran"}</definedName>
    <definedName name="zc" hidden="1">{"Riqfin97",#N/A,FALSE,"Tran";"Riqfinpro",#N/A,FALSE,"Tran"}</definedName>
    <definedName name="zio" localSheetId="14" hidden="1">{"Tab1",#N/A,FALSE,"P";"Tab2",#N/A,FALSE,"P"}</definedName>
    <definedName name="zio" hidden="1">{"Tab1",#N/A,FALSE,"P";"Tab2",#N/A,FALSE,"P"}</definedName>
    <definedName name="zn" localSheetId="14" hidden="1">{"bop94-99",#N/A,FALSE,"BOP";"bgdp94-99",#N/A,FALSE,"BOPGDP";"exp94-99",#N/A,FALSE,"EXP";"imp94-99",#N/A,FALSE,"IMP";"tt9499",#N/A,FALSE,"TT";"ss94-99",#N/A,FALSE,"SERV";"tran94-99",#N/A,FALSE,"TRAN";"dis95-98",#N/A,FALSE,"DISB";"amor94-99",#N/A,FALSE,"AMOR";"int94-98",#N/A,FALSE,"INT";"debt94-99",#N/A,FALSE,"DEBT"}</definedName>
    <definedName name="zn" hidden="1">{"bop94-99",#N/A,FALSE,"BOP";"bgdp94-99",#N/A,FALSE,"BOPGDP";"exp94-99",#N/A,FALSE,"EXP";"imp94-99",#N/A,FALSE,"IMP";"tt9499",#N/A,FALSE,"TT";"ss94-99",#N/A,FALSE,"SERV";"tran94-99",#N/A,FALSE,"TRAN";"dis95-98",#N/A,FALSE,"DISB";"amor94-99",#N/A,FALSE,"AMOR";"int94-98",#N/A,FALSE,"INT";"debt94-99",#N/A,FALSE,"DEBT"}</definedName>
    <definedName name="zv" localSheetId="14" hidden="1">{"Tab1",#N/A,FALSE,"P";"Tab2",#N/A,FALSE,"P"}</definedName>
    <definedName name="zv" hidden="1">{"Tab1",#N/A,FALSE,"P";"Tab2",#N/A,FALSE,"P"}</definedName>
    <definedName name="zx" localSheetId="14" hidden="1">{"Tab1",#N/A,FALSE,"P";"Tab2",#N/A,FALSE,"P"}</definedName>
    <definedName name="zx" hidden="1">{"Tab1",#N/A,FALSE,"P";"Tab2",#N/A,FALSE,"P"}</definedName>
    <definedName name="zz" localSheetId="14" hidden="1">{"Tab1",#N/A,FALSE,"P";"Tab2",#N/A,FALSE,"P"}</definedName>
    <definedName name="zz" hidden="1">{"Tab1",#N/A,FALSE,"P";"Tab2",#N/A,FALSE,"P"}</definedName>
    <definedName name="zzz" localSheetId="14" hidden="1">{"TBILLS_ALL",#N/A,FALSE,"FITB_all"}</definedName>
    <definedName name="zzz" hidden="1">{"TBILLS_ALL",#N/A,FALSE,"FITB_all"}</definedName>
    <definedName name="ZZZZ" localSheetId="1" hidden="1">[101]Retroactivos!#REF!</definedName>
    <definedName name="ZZZZ" localSheetId="8" hidden="1">[101]Retroactivos!#REF!</definedName>
    <definedName name="ZZZZ" hidden="1">[101]Retroactivos!#REF!</definedName>
    <definedName name="zzzzzzzzzz" localSheetId="14" hidden="1">{#N/A,#N/A,FALSE,"slvsrtb1";#N/A,#N/A,FALSE,"slvsrtb2";#N/A,#N/A,FALSE,"slvsrtb3";#N/A,#N/A,FALSE,"slvsrtb4";#N/A,#N/A,FALSE,"slvsrtb5";#N/A,#N/A,FALSE,"slvsrtb6";#N/A,#N/A,FALSE,"slvsrtb7";#N/A,#N/A,FALSE,"slvsrtb8";#N/A,#N/A,FALSE,"slvsrtb9";#N/A,#N/A,FALSE,"slvsrtb10";#N/A,#N/A,FALSE,"slvsrtb12"}</definedName>
    <definedName name="zzzzzzzzzz" hidden="1">{#N/A,#N/A,FALSE,"slvsrtb1";#N/A,#N/A,FALSE,"slvsrtb2";#N/A,#N/A,FALSE,"slvsrtb3";#N/A,#N/A,FALSE,"slvsrtb4";#N/A,#N/A,FALSE,"slvsrtb5";#N/A,#N/A,FALSE,"slvsrtb6";#N/A,#N/A,FALSE,"slvsrtb7";#N/A,#N/A,FALSE,"slvsrtb8";#N/A,#N/A,FALSE,"slvsrtb9";#N/A,#N/A,FALSE,"slvsrtb10";#N/A,#N/A,FALSE,"slvsrtb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2" i="48" l="1"/>
  <c r="G7" i="50" l="1"/>
  <c r="D16" i="47" s="1"/>
  <c r="C62" i="48"/>
  <c r="C50" i="48"/>
  <c r="C45" i="48"/>
  <c r="C6" i="48"/>
  <c r="D15" i="47"/>
  <c r="D8" i="47"/>
  <c r="C21" i="47"/>
  <c r="C16" i="47"/>
  <c r="C15" i="47"/>
  <c r="C8" i="47"/>
  <c r="G6" i="50"/>
  <c r="G8" i="50"/>
  <c r="D21" i="47" s="1"/>
  <c r="G5" i="50"/>
  <c r="F6" i="50"/>
  <c r="F7" i="50"/>
  <c r="D50" i="48" s="1"/>
  <c r="F8" i="50"/>
  <c r="F5" i="50"/>
  <c r="M22" i="49" l="1"/>
  <c r="M21" i="49"/>
  <c r="M20" i="49"/>
  <c r="M19" i="49"/>
  <c r="M18" i="49"/>
  <c r="M17" i="49"/>
  <c r="M16" i="49"/>
  <c r="M15" i="49"/>
  <c r="M14" i="49"/>
  <c r="M13" i="49"/>
  <c r="M12" i="49"/>
  <c r="M11" i="49"/>
  <c r="M10" i="49"/>
  <c r="M9" i="49"/>
  <c r="M8" i="49"/>
  <c r="M7" i="49"/>
  <c r="M6" i="49"/>
  <c r="M5" i="4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Operaciones_01</author>
    <author>Autor</author>
  </authors>
  <commentList>
    <comment ref="E8" authorId="0" shapeId="0" xr:uid="{00000000-0006-0000-0500-000001000000}">
      <text>
        <r>
          <rPr>
            <b/>
            <sz val="9"/>
            <rFont val="Tahoma"/>
            <family val="2"/>
          </rPr>
          <t>planificacion</t>
        </r>
      </text>
    </comment>
    <comment ref="E21" authorId="0" shapeId="0" xr:uid="{00000000-0006-0000-0500-000002000000}">
      <text>
        <r>
          <rPr>
            <b/>
            <sz val="9"/>
            <rFont val="Tahoma"/>
            <family val="2"/>
          </rPr>
          <t>Unidad de Transparencia y Lucha Contra la Corrupción</t>
        </r>
      </text>
    </comment>
    <comment ref="E25" authorId="0" shapeId="0" xr:uid="{00000000-0006-0000-0500-000003000000}">
      <text>
        <r>
          <rPr>
            <b/>
            <sz val="9"/>
            <rFont val="Tahoma"/>
            <family val="2"/>
          </rPr>
          <t>UNIDAD DE AVSEC</t>
        </r>
      </text>
    </comment>
    <comment ref="E36" authorId="0" shapeId="0" xr:uid="{00000000-0006-0000-0500-000004000000}">
      <text>
        <r>
          <rPr>
            <b/>
            <sz val="9"/>
            <rFont val="Tahoma"/>
            <family val="2"/>
          </rPr>
          <t>Unidad de Auditoria Interna</t>
        </r>
      </text>
    </comment>
    <comment ref="E46" authorId="0" shapeId="0" xr:uid="{00000000-0006-0000-0500-000005000000}">
      <text>
        <r>
          <rPr>
            <b/>
            <sz val="9"/>
            <rFont val="Tahoma"/>
            <family val="2"/>
          </rPr>
          <t>Unidad Asesoría Jurídica EPTAM</t>
        </r>
      </text>
    </comment>
    <comment ref="E65" authorId="0" shapeId="0" xr:uid="{00000000-0006-0000-0500-000006000000}">
      <text>
        <r>
          <rPr>
            <b/>
            <sz val="9"/>
            <rFont val="Tahoma"/>
            <family val="2"/>
          </rPr>
          <t>ciac</t>
        </r>
      </text>
    </comment>
    <comment ref="E84" authorId="0" shapeId="0" xr:uid="{00000000-0006-0000-0500-000007000000}">
      <text>
        <r>
          <rPr>
            <sz val="9"/>
            <rFont val="Tahoma"/>
            <family val="2"/>
          </rPr>
          <t xml:space="preserve">Gerencia de Informática y Comunicaciones
</t>
        </r>
      </text>
    </comment>
    <comment ref="E89" authorId="1" shapeId="0" xr:uid="{00000000-0006-0000-0500-000008000000}">
      <text>
        <r>
          <rPr>
            <b/>
            <sz val="11"/>
            <rFont val="Tahoma"/>
            <family val="2"/>
          </rPr>
          <t>no concuerda con operaciones de informatica</t>
        </r>
      </text>
    </comment>
    <comment ref="E92" authorId="0" shapeId="0" xr:uid="{00000000-0006-0000-0500-000009000000}">
      <text>
        <r>
          <rPr>
            <b/>
            <sz val="9"/>
            <rFont val="Tahoma"/>
            <family val="2"/>
          </rPr>
          <t>GAA</t>
        </r>
      </text>
    </comment>
    <comment ref="E188" authorId="0" shapeId="0" xr:uid="{00000000-0006-0000-0500-00000A000000}">
      <text>
        <r>
          <rPr>
            <b/>
            <sz val="9"/>
            <rFont val="Tahoma"/>
            <family val="2"/>
          </rPr>
          <t>GERENCIA COMERCIAL</t>
        </r>
      </text>
    </comment>
    <comment ref="E255" authorId="0" shapeId="0" xr:uid="{00000000-0006-0000-0500-00000B000000}">
      <text>
        <r>
          <rPr>
            <b/>
            <sz val="9"/>
            <rFont val="Tahoma"/>
            <family val="2"/>
          </rPr>
          <t>GERENCIA DE OPERACIONES</t>
        </r>
      </text>
    </comment>
    <comment ref="E266" authorId="0" shapeId="0" xr:uid="{00000000-0006-0000-0500-00000C000000}">
      <text>
        <r>
          <rPr>
            <b/>
            <sz val="9"/>
            <rFont val="Tahoma"/>
            <family val="2"/>
          </rPr>
          <t>Gerencia de Aeronavegabilidad Continua</t>
        </r>
      </text>
    </comment>
    <comment ref="E285" authorId="0" shapeId="0" xr:uid="{00000000-0006-0000-0500-00000D000000}">
      <text>
        <r>
          <rPr>
            <b/>
            <sz val="9"/>
            <rFont val="Tahoma"/>
            <family val="2"/>
          </rPr>
          <t>GERENCIA DE SEGURIDAD OPERACIONAL  - SMS</t>
        </r>
      </text>
    </comment>
  </commentList>
</comments>
</file>

<file path=xl/sharedStrings.xml><?xml version="1.0" encoding="utf-8"?>
<sst xmlns="http://schemas.openxmlformats.org/spreadsheetml/2006/main" count="1021" uniqueCount="593">
  <si>
    <t>FORMULARIO N° 1.1</t>
  </si>
  <si>
    <t>RESUMEN DE LA ARTICULACIÓN DE ACCIONES DE MEDIANO PLAZO DEL PLAN ESTRATÉGICO INSTITUCIONAL</t>
  </si>
  <si>
    <t>GESTIÓN:</t>
  </si>
  <si>
    <t>ENTIDAD:</t>
  </si>
  <si>
    <t>ARTICULACIÓN AL PDES  (A)</t>
  </si>
  <si>
    <t>ACCIÓN DE MEDIANO PLAZO
( B)</t>
  </si>
  <si>
    <t>INDICADORES
(C)</t>
  </si>
  <si>
    <t>PROGRAMACIÓN DE METAS*
(D)</t>
  </si>
  <si>
    <t>E</t>
  </si>
  <si>
    <t>M</t>
  </si>
  <si>
    <t>R</t>
  </si>
  <si>
    <t>DENOMINACIÓN</t>
  </si>
  <si>
    <t>PRODUCTO O RESULTADO</t>
  </si>
  <si>
    <t>DESCRIPCIÓN DEL INDICADOR</t>
  </si>
  <si>
    <t>UNIDAD DE MEDIDA</t>
  </si>
  <si>
    <t>FÓRMULA</t>
  </si>
  <si>
    <t>LÍNEA BASE (2025)</t>
  </si>
  <si>
    <t>RESULTADO DE MEDIANO PLAZO
(PEI 2020-2025)</t>
  </si>
  <si>
    <t>ESTIMACIÓN DE METAS DE MEDIANO PLAZO*
(2026-2030)</t>
  </si>
  <si>
    <t>EJEC.</t>
  </si>
  <si>
    <t>EJEC.
(ESTIMADO A DIC.)</t>
  </si>
  <si>
    <t>PROG.</t>
  </si>
  <si>
    <t>Establecer al 100% una gestión administrativa empresarial eficiente con capacitación del personal y cooperación interinstitucional a nivel nacional.</t>
  </si>
  <si>
    <t>Gestión administrativa eficaz de la empresa en el quinquenio a nivel nacional.</t>
  </si>
  <si>
    <t xml:space="preserve">(%) grado de eficacia en la gestión administrativa a nivel producto </t>
  </si>
  <si>
    <t>Porcentaje</t>
  </si>
  <si>
    <t>Resultado alcanzado x 100 /
resultado previsto</t>
  </si>
  <si>
    <t>Efectuar al 100% la Gestión Economica y financiera proyectado por la empresa a nivel nacional.</t>
  </si>
  <si>
    <t>Gestión económica y financiera eficaz de la empresa en el quinquenio a nivel nacional.</t>
  </si>
  <si>
    <t>(%) grado de eficacia en la generación de ingresos</t>
  </si>
  <si>
    <t>Ingresos generados / Ingresos
proyectados x 100</t>
  </si>
  <si>
    <t>Incrementar del 1% al 21% la participación en el mercado de transporte aéreo, para integrar a la población en rutas alejadas a nivel nacional.</t>
  </si>
  <si>
    <t>Incremento del servicio de transporte aéreo a nivel nacional en el quinquenio.</t>
  </si>
  <si>
    <t>(%) de participación en el mercado en el servicio de transporte aéreo.</t>
  </si>
  <si>
    <t>Transporte de pasajeros, carga y correo regular y no regular a nivel nacional de EPTAM/Transporte de pasajeros , carga y correo regular y no regular a nivel nacional del mercado aéronautico)*100</t>
  </si>
  <si>
    <t>Incrementar en 10 rutas aéreas en operación, mecanismos de control de seguridad operacional a nivel nacional.</t>
  </si>
  <si>
    <t>Rutas aéreas en operación con mecanismos de control y seguridad, que integran al país a nivel nacional en el quinquenio.</t>
  </si>
  <si>
    <t xml:space="preserve">Nro. de Rutas en operación. </t>
  </si>
  <si>
    <t>Numero</t>
  </si>
  <si>
    <t>N/A</t>
  </si>
  <si>
    <t>RESPONSABLES DE LOS COMPROMISOS</t>
  </si>
  <si>
    <t>NOMBRE Y CARGO</t>
  </si>
  <si>
    <t>FIRMA</t>
  </si>
  <si>
    <t>MAE</t>
  </si>
  <si>
    <t>RESPONSABLE DE PLANIFICACIÓN</t>
  </si>
  <si>
    <t>RESPONSABLE DE PRESUPUESTO</t>
  </si>
  <si>
    <t>RESPONSABLE QUE ELABORA</t>
  </si>
  <si>
    <t>FECHA:</t>
  </si>
  <si>
    <t>*De carácter referencial para las gestiones 2025 - 2030
PROG.: Programado
EJEC.: Ejecución</t>
  </si>
  <si>
    <t>FORMULARIO N° 1.2</t>
  </si>
  <si>
    <t>RESUMEN DE LA ARTICULACIÓN DE ACCIONES DE MEDIANO PLAZO Y ACCIONES DE CORTO PLAZO</t>
  </si>
  <si>
    <t>ACCIÓN DE MEDIANO PLAZO
(A)</t>
  </si>
  <si>
    <t>ACCIÓN DE CORTO PLAZO
(B)</t>
  </si>
  <si>
    <t>PROGRAMACIÓN DE METAS 2026*
(D)</t>
  </si>
  <si>
    <t>COD.</t>
  </si>
  <si>
    <t>PRODUCTO</t>
  </si>
  <si>
    <t>LÍNEA BASE
2024</t>
  </si>
  <si>
    <t>ESTIMACIÓN 2025</t>
  </si>
  <si>
    <t>PROGRAMACIÓN
2026</t>
  </si>
  <si>
    <t>PRIMER TRIMESTRE</t>
  </si>
  <si>
    <t>SEGUNDO TRIMESTRE</t>
  </si>
  <si>
    <t>TERCER TRIMESTRE</t>
  </si>
  <si>
    <t>CUARTO TRIMESTRE</t>
  </si>
  <si>
    <t>1.1</t>
  </si>
  <si>
    <t>Efectuar al 100% la gestión administrativa de la empresa con cooperación interinstitucional a nivel nacional.</t>
  </si>
  <si>
    <t>1.1.1</t>
  </si>
  <si>
    <t>Establecer al 15% una Gestión administrativa empresarial eficiente con capacitación del personal y cooperación interinstitucional a nivel nacional en el año 2026.</t>
  </si>
  <si>
    <t>Gestionar y consolidar un equipo de trabajo capacitado para asegurar una administración eficiente en la Empresa Pública Transporte Aéreo Militar.</t>
  </si>
  <si>
    <t>2.1</t>
  </si>
  <si>
    <t>2.1.1</t>
  </si>
  <si>
    <t>Administrar al 25% los recursos económicos y financieros de la Empresa Pública Transporte Aéreo Militar, con eficiencia y eficacia a Nivel Nacional en el año 2026.</t>
  </si>
  <si>
    <t>Fortalecer la gestión financiera de la Empresa Pública Transporte Aéreo Militar mediante una administración integral y eficiente de recursos y gastos, alineada con las normativas vigentes, para asegurar la sostenibilidad tras la reactivación de vuelos regulares.</t>
  </si>
  <si>
    <t>(%) efectividad de la asignación y uso de recursos en relación con el logro de objetivos de acuerdo a normativa vigente</t>
  </si>
  <si>
    <t>3.1</t>
  </si>
  <si>
    <t>3.1.1</t>
  </si>
  <si>
    <t>Incrementar al 10% la participación en el mercado de transporte aéreo, para integrar a la población a nivel Nacional en el año 2026</t>
  </si>
  <si>
    <t xml:space="preserve">(%) de participación en el mercado </t>
  </si>
  <si>
    <t>4.1</t>
  </si>
  <si>
    <t>4.1.1</t>
  </si>
  <si>
    <t>Ejecutar en 10 rutas Aereas el programa de control  de seguidad operacional a nivel nacional en el año 2026</t>
  </si>
  <si>
    <t>Nro de Rutas Aéreas que ejecutan programas  de Control de Seguridad Operacional en regiones con poca accesibilidad aerea</t>
  </si>
  <si>
    <t>*De carácter referencial</t>
  </si>
  <si>
    <t>Codigo PEE</t>
  </si>
  <si>
    <t>Acción institucional especifica</t>
  </si>
  <si>
    <t xml:space="preserve">Indicador de proceso </t>
  </si>
  <si>
    <t>Área o unidad organizacional responsable</t>
  </si>
  <si>
    <t xml:space="preserve">Código POA </t>
  </si>
  <si>
    <t>Acción de corto plazo Gestión 2026</t>
  </si>
  <si>
    <t>Resultado esperado Gestión 2026</t>
  </si>
  <si>
    <t>Gerencia de Asuntos Administrativos</t>
  </si>
  <si>
    <t>Gerencia Comercial</t>
  </si>
  <si>
    <t>CUADRO 2</t>
  </si>
  <si>
    <t>Código POA</t>
  </si>
  <si>
    <t>Acciones de corto plazo Gestión 2025</t>
  </si>
  <si>
    <t>Resultados esperados Gestión 2025</t>
  </si>
  <si>
    <t>Cargo del REACP</t>
  </si>
  <si>
    <t>Fecha prevista de inicio</t>
  </si>
  <si>
    <t>Fecha prevista de finalización</t>
  </si>
  <si>
    <t>Unidad de Planificacion y Control de Gestion</t>
  </si>
  <si>
    <t>Unidad de Transparencia y lucha contra la corrupcion</t>
  </si>
  <si>
    <t>Unidad de Auditoria Interna</t>
  </si>
  <si>
    <t xml:space="preserve">Unidad de Asesoria Juridica </t>
  </si>
  <si>
    <t>Centro de Instrucción de Aeronautica Civil (CIAC)</t>
  </si>
  <si>
    <t xml:space="preserve">Gerencia de Informatica y Comunicaciones </t>
  </si>
  <si>
    <t xml:space="preserve">Gerencia de Asuntos Administrativos </t>
  </si>
  <si>
    <t xml:space="preserve">Gerencia Comercial </t>
  </si>
  <si>
    <t>Gerencia de Operaciones</t>
  </si>
  <si>
    <t>Gerencia de Aeronavegabilidad Continua</t>
  </si>
  <si>
    <t xml:space="preserve">CUADRO 3 </t>
  </si>
  <si>
    <t>DETERMINACION DE OPERACIONES Y TAREAS</t>
  </si>
  <si>
    <t xml:space="preserve">Operación </t>
  </si>
  <si>
    <t>Actividad</t>
  </si>
  <si>
    <t>Fecha prevista Inicio / Fin</t>
  </si>
  <si>
    <t>Resultado intermedio esperado</t>
  </si>
  <si>
    <t>Tarea especifica</t>
  </si>
  <si>
    <t>Área o Unidad organizacional ejecutora</t>
  </si>
  <si>
    <t>Elaboracion del Plan Estrategico Empresarial de la EPTAM</t>
  </si>
  <si>
    <t>Elaboracion de un manual de procedimientos.</t>
  </si>
  <si>
    <t xml:space="preserve">CUADRO 4 </t>
  </si>
  <si>
    <t xml:space="preserve">DETERMINACION DE REQUERIMIENTOS </t>
  </si>
  <si>
    <t>bien o servicio demandado</t>
  </si>
  <si>
    <t>Fecha en la que se requiere</t>
  </si>
  <si>
    <t xml:space="preserve">Presupuesto de gasto </t>
  </si>
  <si>
    <t>N°</t>
  </si>
  <si>
    <t>OBJETO DE LA CONTRATACION (COMPRA DE BIEN O SERVICIO)</t>
  </si>
  <si>
    <t>IMPORTE ESIMADO (PRECIO REFERENCIAL) Bs.</t>
  </si>
  <si>
    <t>MES PROGRAMADO PARA LA COMPRA DEL BIEN O SERVICIO</t>
  </si>
  <si>
    <t>Formulación del POA 2027</t>
  </si>
  <si>
    <t>Julio - Agosto</t>
  </si>
  <si>
    <t>PAPEL</t>
  </si>
  <si>
    <t>Enero- Diciembre</t>
  </si>
  <si>
    <t>ÚTILES DE ESCRITORIO Y OFICINA</t>
  </si>
  <si>
    <t>PAGO POR TRABAJOS DIRIGIDOS Y PASANTIAS</t>
  </si>
  <si>
    <t xml:space="preserve"> Seguimiento al POA 2026</t>
  </si>
  <si>
    <t>CONSULTORES INDIVIDUALES DE LÍNEA</t>
  </si>
  <si>
    <t>EQUIPO DE COMPUTACIÓN</t>
  </si>
  <si>
    <t>CAPACITACIÓN DEL PERSONAL</t>
  </si>
  <si>
    <t>PASAJES AL INTERIOR DEL PAIS</t>
  </si>
  <si>
    <t>VIATICOS POR VIAJES AL INTERIORDEL PAIS</t>
  </si>
  <si>
    <t>MANTENIMIENTO Y REPARACION DE INMUEBLES</t>
  </si>
  <si>
    <t>Seguimiento y evaluación al POA 2026</t>
  </si>
  <si>
    <t>Abril</t>
  </si>
  <si>
    <t>GASTOS POR REFRIGERIOS AL PERSONAL PERMANENTE, EVENTUAL Y CONSULTORES    INDIVIDUALES DE LINEA DE LAS INSTITUCIONES PUBLICAS</t>
  </si>
  <si>
    <t>OTROS GASTOS POR CONCEPTO DE INSTALACION, MANTENIMIENTO Y REPARACION</t>
  </si>
  <si>
    <t>Diciembre</t>
  </si>
  <si>
    <t>LIBROS,MANUALES Y REVISTAS</t>
  </si>
  <si>
    <t>COMISIONES Y GASTOS BANCARIOS</t>
  </si>
  <si>
    <t>SERVICIOS DE IMPRENTA, FOTOCOPIADO Y FOTOGRÁFICOS</t>
  </si>
  <si>
    <t>GASTOS JUDICIALES</t>
  </si>
  <si>
    <t>PUBLICIDAD</t>
  </si>
  <si>
    <t>OTROS SERVICIOS</t>
  </si>
  <si>
    <t>MATERIAL DE LIMPIEZA E HIGIENE</t>
  </si>
  <si>
    <t>UTILES Y MATERIALES ELECTRICOS</t>
  </si>
  <si>
    <t>EQUIPOS DE OFICINA Y MUEBLES</t>
  </si>
  <si>
    <t>DERECHOS SOBRE BIENES INTANGIBLES</t>
  </si>
  <si>
    <t>COMUNICACIONES</t>
  </si>
  <si>
    <t>ENERGIA ELECTRICA</t>
  </si>
  <si>
    <t>AGUA</t>
  </si>
  <si>
    <t>TELEFONIA</t>
  </si>
  <si>
    <t>INTERNET</t>
  </si>
  <si>
    <t>VIATICOS POR VIAJE AL INTERIOR DEL PAIS</t>
  </si>
  <si>
    <t>SEGUROS</t>
  </si>
  <si>
    <t>TRANSPORTE DE PERSONAL</t>
  </si>
  <si>
    <t>MANTENIMIENTO Y REPARACIÓN VEHICULOS MAQUINARIA Y EQUIPO</t>
  </si>
  <si>
    <t>AUDITORIAS EXTERNAS</t>
  </si>
  <si>
    <t>LAVANDERIA, LIMPIEZA E HIGIENE</t>
  </si>
  <si>
    <t>PRODUCTOS DE ARTES GRAFICAS, PAPEL Y CARTON</t>
  </si>
  <si>
    <t>SERVICIOS MANUALES</t>
  </si>
  <si>
    <t>GASTOS DE REPRESENTACION</t>
  </si>
  <si>
    <t>GASTOS POR ALIMENTACIÓN Y OTROS SIMILARES</t>
  </si>
  <si>
    <t>PERIODICOS Y BOLETINES</t>
  </si>
  <si>
    <t>HILADOS, TELAS, FIBRAS Y ALGODON</t>
  </si>
  <si>
    <t>COMBUSTIBLES, LUBRICANTES Y DERIVADOS PARA CONSUMO</t>
  </si>
  <si>
    <t>HERRAMIENTAS MENORES</t>
  </si>
  <si>
    <t>MATERIAL DE LIMPIEZA</t>
  </si>
  <si>
    <t>AMORTIZACION DE LA DEUDA PUBLICA</t>
  </si>
  <si>
    <t xml:space="preserve">IMPUESTO A LAS TRANSACCIONES </t>
  </si>
  <si>
    <t>IMPUESTO AL VALOR AGREGADO MERCADO INTERNO</t>
  </si>
  <si>
    <t>MULTAS</t>
  </si>
  <si>
    <t>INTERESES PENALES</t>
  </si>
  <si>
    <t>PERDIDAS EN OPERACIONES CAMBIARIAS</t>
  </si>
  <si>
    <t>DEVOLUCIONES</t>
  </si>
  <si>
    <t>COMISIONES POR VENTAS</t>
  </si>
  <si>
    <t>PATENTES</t>
  </si>
  <si>
    <t>RECURSOS ESPECIFICOS</t>
  </si>
  <si>
    <t>FLETES Y ALMACENAMIENTO</t>
  </si>
  <si>
    <t>ALQUILER DE INMUEBLES</t>
  </si>
  <si>
    <t>FORMULARIO N° 2.1</t>
  </si>
  <si>
    <t>PRESUPUESTO INSTITUCIONAL PLURIANUAL DE RECURSOS</t>
  </si>
  <si>
    <t>GRUPO</t>
  </si>
  <si>
    <t>FUENTE DE FINANCIAMIENTO</t>
  </si>
  <si>
    <t>ORGANISMO FINANCIADOR</t>
  </si>
  <si>
    <t>INGRESOS DE OPERACIÓN</t>
  </si>
  <si>
    <t>VENTA DE BIENES Y SERVICIOS DE LAS ADMINISTRACIONES PÚBLICAS</t>
  </si>
  <si>
    <t>INGRESOS POR IMPUESTOS</t>
  </si>
  <si>
    <t>REGALÍAS</t>
  </si>
  <si>
    <t>TASAS, DERECHOS Y OTROS INGRESOS</t>
  </si>
  <si>
    <t>INTERESES Y OTRAS RENTAS DE LA PROPIEDAD</t>
  </si>
  <si>
    <t>CONTRIBUCIONES A LA SEGURIDAD SOCIAL</t>
  </si>
  <si>
    <t>DONACIONES CORRIENTES</t>
  </si>
  <si>
    <t>TRANSFERENCIAS CORRIENTES</t>
  </si>
  <si>
    <t>RECURSOS PROPIOS DE CAPITAL</t>
  </si>
  <si>
    <t>DONACIONES DE CAPITAL</t>
  </si>
  <si>
    <t>TRANSFERENCIAS DE CAPITAL</t>
  </si>
  <si>
    <t>VENTA DE ACCIONES Y PARTICIPACIONES DE CAPITAL</t>
  </si>
  <si>
    <t>RECUPERACIÓN DE PRÉSTAMOS DE CORTO PLAZO</t>
  </si>
  <si>
    <t>RECUPERACIÓN DE PRÉSTAMOS DE LARGO PLAZO</t>
  </si>
  <si>
    <t>VENTA DE TÍTULOS Y VALORES</t>
  </si>
  <si>
    <t>DISMINUCIÓN Y COBRO DE OTROS ACTIVOS FINANCIEROS</t>
  </si>
  <si>
    <t>OBTENCIÓN DE PRÉSTAMOS INTERNOS Y DE FONDOS - FIDEICOMISOS</t>
  </si>
  <si>
    <t>OBTENCIÓN DE PRÉSTAMOS DEL EXTERIOR</t>
  </si>
  <si>
    <t>EMISIÓN DE TÍTULOS DE DEUDA</t>
  </si>
  <si>
    <t>INCREMENTO DE OTROS PASIVOS Y APORTES DE CAPITAL</t>
  </si>
  <si>
    <t>TOTAL</t>
  </si>
  <si>
    <t>Nota: La columna del 2018 se desprenderán del PGE aprobado.</t>
  </si>
  <si>
    <t>FORMULARIO N° 2.2</t>
  </si>
  <si>
    <t>PRESUPUESTO INSTITUCIONAL PLURIANUAL DE GASTOS</t>
  </si>
  <si>
    <t>SECTOR</t>
  </si>
  <si>
    <t>PROGRAMA</t>
  </si>
  <si>
    <t>CONCEPTO</t>
  </si>
  <si>
    <t>CÓDIGO</t>
  </si>
  <si>
    <t>SISIN</t>
  </si>
  <si>
    <t>FUNCIONAMIENTO/OPERACIONES</t>
  </si>
  <si>
    <t>Servicios Personales</t>
  </si>
  <si>
    <t>Servicios No Personales</t>
  </si>
  <si>
    <t>Materiales y Suministros</t>
  </si>
  <si>
    <t>Activos Reales</t>
  </si>
  <si>
    <t>Activos Financieros</t>
  </si>
  <si>
    <t>Servicio de la Deuda Pública y Disminución de Otros Pasivos</t>
  </si>
  <si>
    <t>Transferencias</t>
  </si>
  <si>
    <t>Impuestos, Regalías y Tasas</t>
  </si>
  <si>
    <t>Otros Gastos</t>
  </si>
  <si>
    <t>INVERSIÓN PÚBLICA</t>
  </si>
  <si>
    <t>000004574857</t>
  </si>
  <si>
    <t>Proyecto 1</t>
  </si>
  <si>
    <t>000004574523</t>
  </si>
  <si>
    <t>Proyecto 2</t>
  </si>
  <si>
    <t>001522852288</t>
  </si>
  <si>
    <t>Proyecto N</t>
  </si>
  <si>
    <t>PROG.: Programado</t>
  </si>
  <si>
    <t>FORMULARIO N° 3</t>
  </si>
  <si>
    <t>RESUMEN DE PRESUPUESTO INSTITUCIONAL PLURIANUAL DE GASTOS POR PROGRAMAS ARTICULADO A LA ACCIÓN DE MEDIANO PLAZO</t>
  </si>
  <si>
    <t>PROGRAMA PRESUPUESTARIO</t>
  </si>
  <si>
    <t xml:space="preserve">PROGRAMACIÓN DEL PRESUPUESTO PLURIANUAL 
DE GASTOS (Bs) </t>
  </si>
  <si>
    <t>FORMULARIO N° 5</t>
  </si>
  <si>
    <t>OBJETO DEL GASTO 12100 "PERSONAL EVENTUAL"</t>
  </si>
  <si>
    <t>OBJETIVO DEL PUESTO</t>
  </si>
  <si>
    <t>ÁREA ORGANIZACIONAL A LA CUAL PERTENECE</t>
  </si>
  <si>
    <t>EQUIVALENCIA*</t>
  </si>
  <si>
    <t>TIPO DE GASTO</t>
  </si>
  <si>
    <t>ORGANISMO
FINANCIADOR</t>
  </si>
  <si>
    <t>DURACIÓN DEL CONTRATO
 (Meses)</t>
  </si>
  <si>
    <t xml:space="preserve">N° DE CASOS              </t>
  </si>
  <si>
    <t>COSTO MENSUAL
(En Bs.)</t>
  </si>
  <si>
    <t>COSTO TOTAL
(En Bs.)</t>
  </si>
  <si>
    <t>NIVEL SALARIAL</t>
  </si>
  <si>
    <t>DENOMINACIÓN DEL PUESTO</t>
  </si>
  <si>
    <t>DENOMINACIÓN DEL CARGO</t>
  </si>
  <si>
    <t>HABER BÁSICO</t>
  </si>
  <si>
    <t>TOTAL**</t>
  </si>
  <si>
    <t>RESPONSABLES  DE LOS COMPROMISOS</t>
  </si>
  <si>
    <t xml:space="preserve">FECHA: </t>
  </si>
  <si>
    <t>(*) Al momento del contrato</t>
  </si>
  <si>
    <t>(**) La suma del total, debera realizarse para las ultimas 3 columnas (N de Casos, Costo Mensual y Costo Total</t>
  </si>
  <si>
    <t>FORMULARIO N° 6</t>
  </si>
  <si>
    <t>OBJETO DEL GASTO 25220 "CONSULTORES INDIVIDUALES DE LÍNEA"</t>
  </si>
  <si>
    <t xml:space="preserve">CARGO </t>
  </si>
  <si>
    <t>ÁREA ORGANIZACIONAL QUE 
VALIDE LA CONSULTORIA</t>
  </si>
  <si>
    <t>OBJETIVO DE LA
CONSULTORIA</t>
  </si>
  <si>
    <t>ACTIVIDADES
Y FUNCIONES
DEL CONSULTOR</t>
  </si>
  <si>
    <t>PERFIL
DEL CONSULTOR</t>
  </si>
  <si>
    <t>RESULTADOS ESPERADOS EN
 TERM. CUANTITAT. Y/O CUALITAT.</t>
  </si>
  <si>
    <t>CARGO
EQUIVALENTE A LA
ESCALA SALARIAL</t>
  </si>
  <si>
    <t>REMUNERACIÓN
EQUIVALENTE A LA 
ESCALA SALARIAL</t>
  </si>
  <si>
    <t>FUENTE DE
FINANCIAMIENTO</t>
  </si>
  <si>
    <t>DURACIÓN
DEL CONTRATO
(Meses)</t>
  </si>
  <si>
    <t>N° de CASOS</t>
  </si>
  <si>
    <t xml:space="preserve"> </t>
  </si>
  <si>
    <t>TOTAL*</t>
  </si>
  <si>
    <t>(*) La suma del total, debera realizarse para las ultimas 3 columnas (N de Casos, Costo Mensual y Costo Total</t>
  </si>
  <si>
    <t>FORMULARIO N° 7</t>
  </si>
  <si>
    <t>OBJETO DEL GASTO 25210 "CONSULTORÍAS POR PRODUCTO"</t>
  </si>
  <si>
    <t>ÁREA ORGANIZACIONAL QUE 
VALIDE LA CONSULTORÍA</t>
  </si>
  <si>
    <t>OBJETIVO DE LA
CONSULTORÍA</t>
  </si>
  <si>
    <t>ACTIVIDADES
Y FUNCIONES
DE LA CONSULTORÍA</t>
  </si>
  <si>
    <t>RESULTADOS ESPERADOS EN
TERM. CUANTITAT. Y/O CUALITATIVO</t>
  </si>
  <si>
    <t>N° DE CASOS</t>
  </si>
  <si>
    <t>Nota: En caso de poseer Auditorias Externas, para el caso del nivel central y entidades descentralizadas, el formulario puede ser adecuado al llenado de este formulario.</t>
  </si>
  <si>
    <t>FORMULARIO N° 9</t>
  </si>
  <si>
    <t xml:space="preserve">PROGRAMACIÓN DE INGRESOS POR UNIDAD DE NEGOCIO </t>
  </si>
  <si>
    <t>(Expresado en Bolivianos y Cantidades)</t>
  </si>
  <si>
    <t>UNIDAD DE NEGOCIO Y/O LÍNEA DE PRODUCTO</t>
  </si>
  <si>
    <t>DETALLE</t>
  </si>
  <si>
    <t>INGRESOS 2025</t>
  </si>
  <si>
    <t>PROGRAMADO PRESUPUESTO 2026</t>
  </si>
  <si>
    <t>INGRESOS 
(A JULIO)</t>
  </si>
  <si>
    <t>INGRESOS ESTIMADOS
(AGO. - DIC.)</t>
  </si>
  <si>
    <t>TOTAL INGRESOS</t>
  </si>
  <si>
    <t>ENERO</t>
  </si>
  <si>
    <t>FEBRERO</t>
  </si>
  <si>
    <t>MARZO</t>
  </si>
  <si>
    <t>ABRIL</t>
  </si>
  <si>
    <t>MAYO</t>
  </si>
  <si>
    <t>JUNIO</t>
  </si>
  <si>
    <t>JULIO</t>
  </si>
  <si>
    <t>AGOSTO</t>
  </si>
  <si>
    <t>SEPTIEMBRE</t>
  </si>
  <si>
    <t>OCTUBRE</t>
  </si>
  <si>
    <t>NOVIEMBRE</t>
  </si>
  <si>
    <t>DICIEMBRE</t>
  </si>
  <si>
    <t>Ingresos (Bs)</t>
  </si>
  <si>
    <t>Ventas (Cantidad*)</t>
  </si>
  <si>
    <t>Precio Promedio (Bs)</t>
  </si>
  <si>
    <t>Precio Promedio</t>
  </si>
  <si>
    <t>(*) Cantidad: Se refiere a la unidad de medida de volúmen como ser: Litros, Kilogramos, Toneladas, KW y otros</t>
  </si>
  <si>
    <t xml:space="preserve">RESPONSABLE DE PRESUPUESTO </t>
  </si>
  <si>
    <t>FORMULARIO N° 8</t>
  </si>
  <si>
    <t xml:space="preserve">VOLÚMENES DE PRODUCCIÓN POR UNIDAD DE NEGOCIO Y/O LÍNEA DE PRODUCTO  </t>
  </si>
  <si>
    <t>(Expresado en Cantidades y Bolivianos)</t>
  </si>
  <si>
    <t>PRODUCCIÓN 
(A JULIO)</t>
  </si>
  <si>
    <t>ESTIMADO DE PRODUCCIÓN
(AGO. - DIC.)</t>
  </si>
  <si>
    <t>TOTAL PRODUCCIÓN</t>
  </si>
  <si>
    <t>Cantidad (*)</t>
  </si>
  <si>
    <t>Bs</t>
  </si>
  <si>
    <t>FORMULARIO N° 10</t>
  </si>
  <si>
    <t>OBJETO DEL GASTO: 71220 - BECAS DE ESTUDIOS OTORGADAS A LOS ESTUDIANTES UNIVERSITARIOS</t>
  </si>
  <si>
    <t>ÁREA ACADÉMICA O FACULTAD</t>
  </si>
  <si>
    <t>CARRERA</t>
  </si>
  <si>
    <t>TIPO DE BECA</t>
  </si>
  <si>
    <t>DENOMINACIÓN DE LA BECA</t>
  </si>
  <si>
    <t>NORMA DE APROBACIÓN (VIGENTE)</t>
  </si>
  <si>
    <t>FECHA DE APROBACIÓN</t>
  </si>
  <si>
    <t>DURACIÓN DE LA BECA
 (Meses)</t>
  </si>
  <si>
    <t>N° DE BENEFICIARIOS</t>
  </si>
  <si>
    <t>(*) La suma del total, debera realizarse para las ultimas 3 columnas (N de Beneficiarios, Costo Mensual y Costo Total</t>
  </si>
  <si>
    <t>FORMULARIO N° 11</t>
  </si>
  <si>
    <t>MEMORIA DE CÁLCULO</t>
  </si>
  <si>
    <r>
      <rPr>
        <b/>
        <sz val="14"/>
        <color theme="1"/>
        <rFont val="Century Gothic"/>
        <family val="2"/>
      </rPr>
      <t xml:space="preserve">OBJETO DEL GASTO </t>
    </r>
    <r>
      <rPr>
        <b/>
        <i/>
        <sz val="14"/>
        <color theme="1"/>
        <rFont val="Century Gothic"/>
        <family val="2"/>
      </rPr>
      <t>XXX</t>
    </r>
    <r>
      <rPr>
        <b/>
        <sz val="14"/>
        <color theme="1"/>
        <rFont val="Century Gothic"/>
        <family val="2"/>
      </rPr>
      <t xml:space="preserve"> "</t>
    </r>
    <r>
      <rPr>
        <b/>
        <i/>
        <sz val="14"/>
        <color theme="1"/>
        <rFont val="Century Gothic"/>
        <family val="2"/>
      </rPr>
      <t>NOMBRE DEL OBJETO DE GASTO</t>
    </r>
    <r>
      <rPr>
        <b/>
        <sz val="14"/>
        <color theme="1"/>
        <rFont val="Century Gothic"/>
        <family val="2"/>
      </rPr>
      <t>"</t>
    </r>
  </si>
  <si>
    <r>
      <rPr>
        <b/>
        <sz val="14"/>
        <color theme="1"/>
        <rFont val="Century Gothic"/>
        <family val="2"/>
      </rPr>
      <t>FUENTE XX - "</t>
    </r>
    <r>
      <rPr>
        <b/>
        <i/>
        <sz val="14"/>
        <color theme="1"/>
        <rFont val="Century Gothic"/>
        <family val="2"/>
      </rPr>
      <t>NOMBRE DE LA FUENTE</t>
    </r>
    <r>
      <rPr>
        <b/>
        <sz val="14"/>
        <color theme="1"/>
        <rFont val="Century Gothic"/>
        <family val="2"/>
      </rPr>
      <t>" ORGANISMO XX - "</t>
    </r>
    <r>
      <rPr>
        <b/>
        <i/>
        <sz val="14"/>
        <color theme="1"/>
        <rFont val="Century Gothic"/>
        <family val="2"/>
      </rPr>
      <t>NOMBRE DEL ORGANISMO"</t>
    </r>
  </si>
  <si>
    <t>DESCRIPCIÓN</t>
  </si>
  <si>
    <t>CANTIDAD
REQUERIDA</t>
  </si>
  <si>
    <t>UNIDAD</t>
  </si>
  <si>
    <t>PRECIO 
UNITARIO</t>
  </si>
  <si>
    <t>JUSTIFICACIÓN</t>
  </si>
  <si>
    <t>(1)</t>
  </si>
  <si>
    <t>(2)</t>
  </si>
  <si>
    <t>(3)</t>
  </si>
  <si>
    <t>(4)</t>
  </si>
  <si>
    <t>(5)</t>
  </si>
  <si>
    <t>(6)</t>
  </si>
  <si>
    <t>(7)</t>
  </si>
  <si>
    <t>TOTAL  OBJETO DEL GASTO</t>
  </si>
  <si>
    <t>Elaborado por:</t>
  </si>
  <si>
    <t>(8)</t>
  </si>
  <si>
    <t xml:space="preserve">Aprobado por: </t>
  </si>
  <si>
    <t>(9)</t>
  </si>
  <si>
    <t>Orden correlativo del item requerido</t>
  </si>
  <si>
    <t>Descripción del item requerido</t>
  </si>
  <si>
    <t>Cantidad del ítem requerido en función a la Unidad de Medida</t>
  </si>
  <si>
    <t>Unidad de medida del item requerido, el cual puede ser pieza, mes, Kg, Lts, Mts, etc. (no existe la unidad de medida "Global")</t>
  </si>
  <si>
    <t>Precio Unitario del item requerido en funcion a la Unidad de Medida</t>
  </si>
  <si>
    <t>Total muestra la multiplicación del Precio por la Cantidad</t>
  </si>
  <si>
    <t>Justificación detallada de la necesidad del item requerido</t>
  </si>
  <si>
    <t>Nombre, Cargo y Firma del Profesional que elabora la Memoria del Cálculo</t>
  </si>
  <si>
    <t>Nombre, Cargo y Firma del Jefe Inmediato Superior que aprueba la Memoria del Cálculo</t>
  </si>
  <si>
    <t>FORMULARIO N° 12</t>
  </si>
  <si>
    <t xml:space="preserve">INVENTARIO DE PRODUCTO TERMINADO POR UNIDAD DE NEGOCIO Y/O LÍNEA DE PRODUCTO  </t>
  </si>
  <si>
    <t>(Expresado en Bolivianos)</t>
  </si>
  <si>
    <t>Inventario Inicial (Bs)</t>
  </si>
  <si>
    <t>Inventario Final (Bs)</t>
  </si>
  <si>
    <t xml:space="preserve">RESPONSABLE </t>
  </si>
  <si>
    <t>Nota: La aplicación de este formuario es obligatorio para aquellas empresas productivas encargadas de la producción y comercialización de bienes de consumo, industrial, doméstico e intermedio, así como de explotación, exploración y transformación de recursos naturales, cuando corresponda.</t>
  </si>
  <si>
    <t>FORMULARIO N° 13</t>
  </si>
  <si>
    <t>GASTOS FINANCIADOS CON RECURSOS DE SALDOS DE CAJA Y BANCOS 
(CORRIENTE -  INVERSIÓN)</t>
  </si>
  <si>
    <t>RECURSOS</t>
  </si>
  <si>
    <t>LIBRETA (*)</t>
  </si>
  <si>
    <t>FUENTE  Y ORGANISMO FINANCIADOR</t>
  </si>
  <si>
    <t>SALDO AL 31/12 DE GESTION ANTERIOR</t>
  </si>
  <si>
    <t>SALDO AL 31/07 DE GESTION EN CURSO 
(A)</t>
  </si>
  <si>
    <t>PROYECCIÓN DE INGRESOS AGO - DIC
(B)</t>
  </si>
  <si>
    <t>PROYECCIÓN DE GASTOS AGO - DIC
(C)</t>
  </si>
  <si>
    <t>SALDO EN CAJA Y BANCOS AL 31/12
D = A+B-C</t>
  </si>
  <si>
    <t>MONTO A INSCRIBIR</t>
  </si>
  <si>
    <t>(*) No obligatorio para las Entidades Territoriales Autónomas - ETA</t>
  </si>
  <si>
    <t>GASTOS</t>
  </si>
  <si>
    <t>ACTIVIDAD/PROYECTO</t>
  </si>
  <si>
    <t>GRUPO DE GASTO/CÓDIGO SISIN</t>
  </si>
  <si>
    <t>MONTO</t>
  </si>
  <si>
    <t>CORRIENTE</t>
  </si>
  <si>
    <t>(GRUPO DE GASTO)</t>
  </si>
  <si>
    <t xml:space="preserve">SUB TOTAL CORRIENTE </t>
  </si>
  <si>
    <t>INVERSIÓN</t>
  </si>
  <si>
    <t>(CÓDIGO SISIN)</t>
  </si>
  <si>
    <t>SUB TOTAL INVERSIÓN</t>
  </si>
  <si>
    <t>NOMBRE  Y CARGO</t>
  </si>
  <si>
    <t>RESPONSABLE DE PLANFICACION</t>
  </si>
  <si>
    <t>ENTIDAD: 596 - EMPRESA PÚBLICA TRANSPORTE AÉREO MILITAR</t>
  </si>
  <si>
    <t>596 - EMPRESA PÚBLICA TRANSPORTE AÉREO MILITAR</t>
  </si>
  <si>
    <t>Ejecutar el control interno posterior, mediante la realización de trabajos de auditoria de mandato legal y otros programados en base a la evaluación de riesgos de la Empresa Publica Transporte Aéreo Militar; asimismo, aquellas instruidas por las instancias competentes, las cuales permitirán el logro de los objetivos de la empresa.</t>
  </si>
  <si>
    <t>Relevamiento de Información sobre el Cumplimiento de la labor del Comité del Seguimiento de Control Interno de la EPTAM, establecida en las Resoluciones CGE/112/2022 y CGE/114/2022.</t>
  </si>
  <si>
    <t>Auditoria de Cumplimiento</t>
  </si>
  <si>
    <t>Unidad de Transparencia y Lucha contra la Corrupción.</t>
  </si>
  <si>
    <t>Responder a trámites administrativos internos o externos,  Directorio, así como de la FAB y Ministerios del Área</t>
  </si>
  <si>
    <t xml:space="preserve">Seguimiento y defensa de procesos de ejecucion coactiva iniciados por la ATT, coordinación de pagos de procesosos ejecutoriados Y Acciones de repeticion. </t>
  </si>
  <si>
    <t>Suscribir convenios y/o contratos de acuerdo al giro empresarial y comercial de EPTAM</t>
  </si>
  <si>
    <t>Ejercer acciones de defensa y realizar análisis jurídico en la etapa en la que se encuentren</t>
  </si>
  <si>
    <t>Responder en oportunidad a solicitudes y emitir actas de reunión de Directorio</t>
  </si>
  <si>
    <t xml:space="preserve">Ejercer acciones legales ante las instancias recursivas previo a la ejecutoria de los procesos  coactivos; asi como efectuar las acciones de repeticion de los procesos pagados. </t>
  </si>
  <si>
    <t>Cumplir con el procedimiento legal para suscribir contratos y convenios en beneficio de EPTAM</t>
  </si>
  <si>
    <t>Realizar análisis e interpretación jurídica, a las solicitudes internas, externas y de Directorio</t>
  </si>
  <si>
    <t xml:space="preserve">Seguimiento a los procesos en movimiento,y  en apelación  en estrados judiciales. Y emitir los informes legales y demas actos administrativos para la acciones de repeticion. </t>
  </si>
  <si>
    <t>Analizar y elaborar, contratos administrativos, comerciales y convenios empresariales de EPTAM.</t>
  </si>
  <si>
    <t>Unidad de Asesoria Jurídica</t>
  </si>
  <si>
    <t>Centro de Instrucción de Aviación Civil CIAC TAMEP</t>
  </si>
  <si>
    <t>Gerencia de Informática y Comunicaciones</t>
  </si>
  <si>
    <t>Gerencia de Seguridad Operacional y Aseguramiento a la Calidad</t>
  </si>
  <si>
    <t>Elaboración del Plan de Vigilancia a la Seguridad Operacional</t>
  </si>
  <si>
    <t>Elaboracion del Plan de Vigilancia a la Seguridad Operacional a Nivel Nacional, considerando las Estaciones aprobadas por la DGAC</t>
  </si>
  <si>
    <t>Gerencia de Aeronavegabilidad</t>
  </si>
  <si>
    <t>RESPONSABLE DE CUMPLIMIENTO DE ACCIONES, RESULTADOS Y METAS</t>
  </si>
  <si>
    <t>Fortalecer la gestión institucional mediante la mejora continua de los procesos, la modernización tecnológica, y el fortalecimiento de la transparencia institucional a nivel nacional en el año 2027.</t>
  </si>
  <si>
    <t>Gestionar la prestación segura, eficiente y continua de las operaciones aeronáuticas mediante la gestión integral de la flota aérea, la aeronavegabilidad continua y el cumplimiento de los estándares de seguridad operacional a nivel nacional en la gestión 2027</t>
  </si>
  <si>
    <t>GESTIÓN: 2027</t>
  </si>
  <si>
    <t xml:space="preserve">ACCIÓN DE MEDIANO PLAZO
(A) PRELIMINAR </t>
  </si>
  <si>
    <t>Gestión institucional de la EPTAM modernizada, con procesos priorizados mejorados, herramientas digitales implementadas de forma progresiva, y mecanismos de transparencia y eficiencia institucional consolidados.</t>
  </si>
  <si>
    <t>Flota operativa y aeronavegable, con seguridad operacional gestionada de forma permanente, para la prestación segura y eficiente de los servicios de transporte aéreo.</t>
  </si>
  <si>
    <t>% de cumplimiento de las metas de gestión financiera.</t>
  </si>
  <si>
    <t>% de cumplimiento de las metas de gestión institucional administrativa</t>
  </si>
  <si>
    <t>(N° de pasajeros transportados/N°de pasajeros programados para transporte aéreo​)×100</t>
  </si>
  <si>
    <t>(Avance físico de actividades de gestión financiera / Programación de actividades de gestión financiera) × 100</t>
  </si>
  <si>
    <t>(Avance fisico de actividades administrativas/  programación de actividades administrativas) *100</t>
  </si>
  <si>
    <t>% de pasajeros transportados respecto a los pasajeros programados.</t>
  </si>
  <si>
    <t>(%) de cumplimiento de actividades de operaciones, aeronavegabilidad y seguridad operacional para mantener la aeronave operable</t>
  </si>
  <si>
    <t>(Ejecución de actividades de SMS, operaciones y aeronavegavilidad para mantener la aeronave operativa y aeronavegable/ actividades de SMS, Operaciones y Aeronavegabilidad programas ) × 100</t>
  </si>
  <si>
    <t>Gerencia de Operaciones; Gerencia de Seguridad Operacional (SMS) y Aseguramiento a la Calidad (QMS); Gerencia de Aeronavegabilidad</t>
  </si>
  <si>
    <t>Unidad de Transparencia y Lucha contra la Corrupción; Unidad de Auditoria Interna, Unidad de Asesoria Juridica, Unidad de Planificación, ODECO, CIAC,  Gerencia de Informatica y Comunicaciones</t>
  </si>
  <si>
    <t>Nro.</t>
  </si>
  <si>
    <t>Responsable ACP</t>
  </si>
  <si>
    <t>Unidad de Transparencia y Lucha contra la Corrupcion, Unidad de Asesoria Jurídica, Unidad de Auditoria Interna, Unidad de Planificacion, ODECO, CIAC, Gerencia de Informática y Comunicaciones</t>
  </si>
  <si>
    <t>Gerencia Comercial, Gerencias Regionales</t>
  </si>
  <si>
    <t>Fortalecer la gestión financiera de la Empresa Pública Transporte Aéreo Militar mediante la administración eficiente de los recursos, contribuyendo a la sostenibilidad y al desarrollo empresarial en la gestión 2027</t>
  </si>
  <si>
    <t>Gestión financiera fortalecida, con una administración eficiente y oportuna de los recursos institucionales.</t>
  </si>
  <si>
    <t>2.1.</t>
  </si>
  <si>
    <t>410.1</t>
  </si>
  <si>
    <t>210.1</t>
  </si>
  <si>
    <t>1.1.</t>
  </si>
  <si>
    <t>210.1.</t>
  </si>
  <si>
    <t>410.1.</t>
  </si>
  <si>
    <t>Gerencias Regionales</t>
  </si>
  <si>
    <t>Unidad de Planificación</t>
  </si>
  <si>
    <t>Oficina de Atención al consumidor ODECO</t>
  </si>
  <si>
    <t>Gerencia Seguridad Operacional (SMS) y Aseguramiento a la Calidad (QMS)</t>
  </si>
  <si>
    <t>01/01/27</t>
  </si>
  <si>
    <t>31/12/27</t>
  </si>
  <si>
    <t>Acción de corto plazo Gestión 2027</t>
  </si>
  <si>
    <t>Resultado esperado Gestión 2027</t>
  </si>
  <si>
    <t>Gestionar y coordinar la planificacion y  el desarrollo organizacional de la EPTAM, en el marco del SOA y el SPO</t>
  </si>
  <si>
    <t>Formular 1 documento del Plan Operativo Anual (POA) 2028 de la EPTAM.</t>
  </si>
  <si>
    <t>Realizar 12 oficios de seguimiento mensual del POA 2027 de la EPTAM.</t>
  </si>
  <si>
    <t>Elaborar 1 informe de seguimiento y evaluacion del POA 2026</t>
  </si>
  <si>
    <t>Atender 220 solicitudes y requerimientos de las Gerencias en materia de planificación y desarrollo organizacional en el marco de la normativa vigente</t>
  </si>
  <si>
    <t xml:space="preserve">Realizar 1 formulario de seguimiento y evaluacion al PEE </t>
  </si>
  <si>
    <t>Planificación y desarrollo organizacional de la EPTAM fortalecidos mediante la formulación, seguimiento y evaluación de los instrumentos de gestión, en el marco del SOA y el SPO.</t>
  </si>
  <si>
    <t>Informes emitidos producto de la ejecución de las Auditorias de Confiabilidad de Registros y Estados Financieros a la gestión 2026 y otros trabajos de auditoria programados para la gestión, en cumplimiento a Normas Gubernamentales y/o lineamientos emitidos por la Contraloría General del Estado.</t>
  </si>
  <si>
    <t>Examen de Confiabilidad de Registros Contables y Estados Financieros al 31 de diciembre de 2026</t>
  </si>
  <si>
    <t>Actividades de planificación general y específica, y evaluacion de registros para el Examen de Confiabilidad de Registros Contables y Estados Financieros al 31/12/2027</t>
  </si>
  <si>
    <t>Otras Actividades no Programadas</t>
  </si>
  <si>
    <t>Gestionar y fortalecer la implementación de políticas y acciones de transparencia, acceso a la información pública, rendición pública de cuentas, prevención y lucha contra la corrupción en la EPTAM, en el marco de la normativa vigente.</t>
  </si>
  <si>
    <t>Transparencia institucional fortalecida mediante la implementación y seguimiento de políticas y acciones de acceso a la información pública, rendición pública de cuentas, prevención y lucha contra la corrupción, en cumplimiento de la normativa vigente.</t>
  </si>
  <si>
    <t>Organizar y ejecutar la Rendición Pública de Cuentas Final 2026 e Inicial 2027. (4)</t>
  </si>
  <si>
    <t>Atender, realizar seguimiento y emitir (12) informes sobre las denuncias por presuntos hechos de corrupción y faltas a la ética pública.</t>
  </si>
  <si>
    <t>Efectuar Programas de Capacitación Induccion a los servidores públicos de la EPTAM, en el marco de la prevención y lucha contra la corrupción  y emitir (4) Informes.</t>
  </si>
  <si>
    <t>Realizar el seguimiento al cumplimiento de las acciones y emitir (4) informes sobre la ética pública y prevención de la corrupción.</t>
  </si>
  <si>
    <t>Efectuar controles de supervisión a gerencias a nivel nacional de la - EPTAM  y emitir (3) Informes, a efectos de verificar el correcto desarrollo de las actividades Operativas.</t>
  </si>
  <si>
    <t xml:space="preserve"> Interponer  demandas de defensa y realizar el seguimiento a procesos laborales, coactivos, penales, civiles y contenciosos.</t>
  </si>
  <si>
    <t xml:space="preserve">Elaboración de memoriales, notas, coordinación  de audiencias y requerimeintos fiscales. </t>
  </si>
  <si>
    <t>Planificar, organizar, desarrollar, ejecutar y evaluar programas de formación, capacitación, entrenamiento y actualización dirigidos a alumnos interesados en el campo de la Aviación y al personal aeronáutico, asi ampliar y matener las competencias técnicas y profesionales conforme a la normativa aeronáutica nacional e internacional, contribuyendo al desarrollo seguro, eficiente y sostenible del sistema de aviación civil.</t>
  </si>
  <si>
    <t>Contar con personal aeronáutico competente, certificado y permanentemente actualizado, mediante la ejecución de programas de formación, capacitación y entrenamiento que cumplan con la normativa nacional y los estándares internacionales, fortaleciendo la seguridad operacional, la seguridad de la aviación civil, la eficiencia y la sostenibilidad del sistema de aviación civil.</t>
  </si>
  <si>
    <t xml:space="preserve">Ejecución del Curso de Técnicas de Enseñanza Aeronáutica Inicial (TDE Inicial). </t>
  </si>
  <si>
    <t>Ejecución del Curso de Técnicas de Enseñanza Aeronáutica Recurrente (TDE Recurrente).</t>
  </si>
  <si>
    <t>Ejecución del Curso para Despachador de Vuelo (DV).</t>
  </si>
  <si>
    <t>Ejecución del Curso para Tripulante de Cabina de Pasajeros (TCP)</t>
  </si>
  <si>
    <t xml:space="preserve">Brindar soporte técnico (Mantenimiento, preventivo ycorrectivo al parque informatico) de EPTAM  </t>
  </si>
  <si>
    <t>Renovación del servicio de HOSTING</t>
  </si>
  <si>
    <t xml:space="preserve">Desarrollar el Sistema de Activos Fijos </t>
  </si>
  <si>
    <t>Desarrollar el Sistema de Control de Asistencia</t>
  </si>
  <si>
    <t>Desarrollar el Sistema de SMS</t>
  </si>
  <si>
    <t>Implementar la herramienta Moodle para el CIAC</t>
  </si>
  <si>
    <t>100 % de avance en mantenimiento de equipos de computación</t>
  </si>
  <si>
    <t xml:space="preserve">Contar con el servicio de alojamiento en un servidor web para el almacenamiento de la base de datos de nuestra pagina web, base de datos del servicio de correo institucional. </t>
  </si>
  <si>
    <t>Contar con el Dominio para el acceso a nuestros servicios como ser la página web, sistema de correpondencia y otros.</t>
  </si>
  <si>
    <t>Contar con la gestion de activos fijos en cuanto registro, estado del activo, ubicación, designación (responsable) del activo fijo.</t>
  </si>
  <si>
    <t>Contar con el control del personal e eptam, en cuanto a la aistencia con el uso GPS para conocer la ubicación del personal en tiempo real y actual.</t>
  </si>
  <si>
    <t>Contar el registro (subida de informacion) de reportes de seguridad operacional (voluntarios/obligatorios) informes de auditotira, boletines y promociones de Segura operacional y archivo PAC.</t>
  </si>
  <si>
    <t>Contar con una plataforma, para gestionar y administrar espacios virtuales con los estudiantes compartir contenidos, realizar controles y evaluar el progreso académico de los diferentes cursos dictados por este CIAC</t>
  </si>
  <si>
    <t>Realizar la limpieza, actualización, reparacion y cambio de componenetes defectuosos ( si se requiere), ademas de la configuracion del parque informatico (Dispositivos Computacionales) hardware y software. Asimismo la instalacion y/o configuracion de algun otro dispositivo informatico complementario.</t>
  </si>
  <si>
    <t>Realizar la limpieza, actualización, reparacion y cambio de componenetes defectuosos ( si se requiere), ademas de la configuracion del parque informatico ( Dispositivos Computacionales) hardware y software. Asimismo la instalacion y/o configuracion de algun otro dispositivo informatico complementario. En las oficinas Regionales de EPTAM a nivel nacional.</t>
  </si>
  <si>
    <t>Realizar la solicitud de renovacion del servicio de hosting (Alojamiento)</t>
  </si>
  <si>
    <t>Realizar la solicitud de renovacion del Dominio tamep.bo</t>
  </si>
  <si>
    <t>Realizar las fases de: Análisis, Diseño (Modelado Rápido UWE,Diseño de la vista en Vue), Planificación, Creación de los endpoints necesarios en Django REST Framework,o Definición de pipeline del modelo de IA que generará los datos,  Desarrollo (Desarrollo de Base de Datos, Desarrollo de Interfaz, frontend Vue, consumo de apis expuesto por la API en Django y se integran los scripts o servicios de IA) y pruebas correspondientes.</t>
  </si>
  <si>
    <t>Realizar las fases de: Análisis, Diseño, Desarrollo (Desarrollo de Base de Datos, Desarrollo de Interfaz, Desarrollo de Métricas), Revisión  (mejoras si corresponde) y pruebas correspondientes,</t>
  </si>
  <si>
    <t>Realizar las fases de: Análisis, Diseño, definir las funcionalidades que el sistema necesita, Desarrollo (Desarrollo de Base de Datos, Desarrollo de Interfaz, Desarrollo de Métricas) y pruebas correspondientes.</t>
  </si>
  <si>
    <t xml:space="preserve">Efectuar  las tareas de instalación, maquetación estructural (diseño estructural), configuración de servidores y configuración de roles y permisos dentro de Moodle, indispensable para asegurar que la parametrización del sistema responda eficazmente a las necesidades  y  asegurando el correcto acceso virtual bajo criterios de alta disponibilidad y usabilidad. </t>
  </si>
  <si>
    <t>Gestionar las diferentes actividades de la jefatura administrativa a través de sus secciones en el marco de las normas vigentes</t>
  </si>
  <si>
    <t>Gestionar el manejo de los recursos a través de las diferentes secciones dependientes d la jefatura financiera</t>
  </si>
  <si>
    <t>Hacer cumplir lo establecido en los reglamentos específicos de las diferentes secciones de la gerencia de asuntos administrativos</t>
  </si>
  <si>
    <t>Incrementar la participación en el mercado de transporte aéreo de pasajeros, carga y correo, mediante la implementación de estrategias comerciales, a nivel nacional en el año 2027</t>
  </si>
  <si>
    <t>Servicio de transporte aéreo de pasajeros, carga y correo prestado a nivel nacional, mediante la implementación de estrategias comerciales</t>
  </si>
  <si>
    <t>Desarrollar, administrar, controlar y supervisar la Gestión de Reclamaciones Directas y Administrativas, como también, los Proyectos de Gestión de Calidad en el Servicio para la mejora continua; en cumplimiento a las disposiciones emitidas por las autoridades competentes.</t>
  </si>
  <si>
    <t>Reclamaciones directas
y administrativas sistematizadas, atendidas y resueltas conforme a normativa vigente.</t>
  </si>
  <si>
    <t>Proyectos de mejora de la calidad en el servicio diseñados, ejecutados y monitoreados, con participación de las áreas operativas.</t>
  </si>
  <si>
    <t>Informes de cumplimiento y seguimiento elaborados y presentados ante autoridades competentes, con recomendaciones de mejora continua.</t>
  </si>
  <si>
    <t>ODECO</t>
  </si>
  <si>
    <t>Recepcionar, registrar, clasificar y dar seguimiento a las reclamaciones presentadas por usuarios, asegurando su resolución dentro de los plazos establecidos por la normativa vigente.</t>
  </si>
  <si>
    <t>Diseñar, implementar y supervisar mecanismos eficaces de atención, seguimiento y resolución de reclamos y sugerencias de los pasajeros, en coordinación con las áreas operativas, asegurando el cumplimiento de los estándares de calidad, normativa vigente y principios de protección al consumidor.</t>
  </si>
  <si>
    <t>Elaborar 
informes mensuales sobre la gestión de reclamaciones y calidad, incluyendo análisis de datos, cumplimiento de metas y recomendaciones para optimizar procesos.</t>
  </si>
  <si>
    <t>Planificar y desarrollar estrategias para la venta de boletos aereos mediante el sitema GDS</t>
  </si>
  <si>
    <t>Planificar estrategias para captar usuarios que requieran vuelos no regulares (charter).</t>
  </si>
  <si>
    <t>Fortalecer la comercializacion de transporte de carga, encomienda  y correo</t>
  </si>
  <si>
    <t xml:space="preserve">Incrementar el posicionamiento de EPTAM en el  Mercado Aèreo Comercial </t>
  </si>
  <si>
    <t>Analizar, supervisar y optimizar las ventas, demanda e ingresos provenientes de los canales indirectos y externos, mediante el diseño e implementación de estrategias comerciales orientadas a incrementar las ventas directas y fortalecer la fidelización de los usuarios.</t>
  </si>
  <si>
    <t>Identificar y contactar empresas e instituciones con potencial demanda de vuelos charter.</t>
  </si>
  <si>
    <t>Identificar y captar nuevos clientes mediante acciones de promoción y comercialización de los servicios, realizando el seguimiento del volumen de ventas e ingresos generados y proponiendo acciones de mejora para optimizar los resultados comerciales.</t>
  </si>
  <si>
    <t>Regionales EPTAM</t>
  </si>
  <si>
    <t>Gestionar la comercialización de los servicios de transporte aéreo en las Gerencias Regionales y puntos de atención a nivel nacional, mediante la venta y emisión de pasajes, la atención al pasajero, el despacho de aeronaves y el descargo de las operaciones aéreas, según corresponda, a través del GDS y conforme a normativa vigente.</t>
  </si>
  <si>
    <t>Servicios de transporte aéreo comercializados de manera oportuna y conforme a normativa en las Gerencias Regionales y puntos de atención, mediante la venta y emisión de pasajes, la atención al pasajero, el despacho de aeronaves y el descargo de las operaciones aéreas, según corresponda.</t>
  </si>
  <si>
    <t xml:space="preserve">Ejecutar los despachos operativos de aeronaves conforme a los itinerarios establecidos en vuelos regulares y charter, garantizando su registro en el sistema GDS para mejorar la eficiencia del servicio y la integracion nacional (Gerencia Regional) </t>
  </si>
  <si>
    <t>Traslado del personal para el apoyo y desarrollo de las operaciones aereas de la Reginal El Alto</t>
  </si>
  <si>
    <t>Servicio de Asistencia en Tierra (S.A.T.)</t>
  </si>
  <si>
    <t>Reporte por ventas de pasajes, exceso de equipajes, servicios especiales, y carga</t>
  </si>
  <si>
    <t>DUAS: &lt;Derecho Uso de Aeropuerto/Tasas de Aeropuerto</t>
  </si>
  <si>
    <t>Descargos de Combustible de Aviacion</t>
  </si>
  <si>
    <t>Informes Administrativos: Pedidos de Material de escritorio, de limpieza, informes para consultores en linea.</t>
  </si>
  <si>
    <t>Descargos ODECO (Devoluciones, demoras y cancelaciones)</t>
  </si>
  <si>
    <t>Realizar la venta y emisión de pasajes aéreos, la atención al pasajero, elaborar la documentación de descargo de las ventas en el punto de atención de la ciudad de La Paz, mediante el Sistema de Distribución Global (GDS), conforme a la normativa y procedimientos vigentes.</t>
  </si>
  <si>
    <t>Disminuir la ocurrencia de incidentes y eventos mediante una gestión de riesgos basada en enfoques reactivos, proactivos y predictivos.</t>
  </si>
  <si>
    <t xml:space="preserve"> Fortalecer el sistema de notificaciones de seguridad operacional asegurando el procesamiento integral de la información y la retroalimentación oportuna para una identificación temprana de peligros.</t>
  </si>
  <si>
    <t>Fomentar una cultura de seguridad y competencia técnica mediante programas de capacitación continua, difusión de la política y fortalecimiento de una Cultura Justa.</t>
  </si>
  <si>
    <t>Mantener una tendencia decreciente de incidentes, incidentes graves y accidentes durante la gestión 2027.</t>
  </si>
  <si>
    <t>Mantener actualizado el proceso de gestión de riesgos mediante la implementación y seguimiento de medidas de mitigación.</t>
  </si>
  <si>
    <t>Garantizar el tratamiento oportuno de los reportes y la retroalimentación al personal.</t>
  </si>
  <si>
    <t>Incrementar el volumen de reportes voluntarios y obligatorios respecto a la gestión anterior.</t>
  </si>
  <si>
    <t>Ejecutar el programa anual de promoción de la seguridad operacional.</t>
  </si>
  <si>
    <t>Capacitar al personal conforme al Programa Anual de Capacitación SMS.</t>
  </si>
  <si>
    <t>Alcanzar un Sistema de Seguridad Operacional que ofrezca un Nivel Aceptable de Seguridad Operacional en la empresa, logrando una implementación operativa y eficaz del SMS.</t>
  </si>
  <si>
    <t>Alcanzar el nivel Adecuado (S) en la evaluación de la eficacia del SMS durante la gestión 2027.</t>
  </si>
  <si>
    <t>Fortalecer la implementación del SMS para avanzar al nivel Operativo (O) mediante el seguimiento gerencial y la mejora continua.</t>
  </si>
  <si>
    <t>• Monitorear mensualmente los SPI.
• Analizar tendencias y eventos.
• Presentar informes de seguridad al Comité SMS.</t>
  </si>
  <si>
    <t>• Actualizar matriz de riesgos.
• Dar seguimiento a acciones correctivas.
• Verificar eficacia de mitigaciones implementadas.</t>
  </si>
  <si>
    <t>• Promover la cultura de reporte.
• Difundir medios de notificación.
• Sensibilizar al personal operativo.</t>
  </si>
  <si>
    <t>• Analizar reportes.
• Investigar eventos cuando corresponda.
• Emitir retroalimentación y realizar seguimiento.</t>
  </si>
  <si>
    <t>• Ejecutar capacitaciones SMS.
• Capacitación en Cultura Justa.
• Evaluar conocimientos adquiridos.</t>
  </si>
  <si>
    <t>• Emitir boletines.
• Difundir lecciones aprendidas.
• Realizar campañas de sensibilización y reuniones de seguridad.</t>
  </si>
  <si>
    <t>• Realizar reuniones del Comité SMS.
• Revisar indicadores SPI/SPT.
• Ejecutar revisión gerencial del SMS.
• Aprobar plan de mejora para la siguiente gestión.</t>
  </si>
  <si>
    <t>• Ejecutar autoevaluaciones.
• Implementar acciones de mejora.
• Cerrar brechas identificadas.</t>
  </si>
  <si>
    <t>Mantener vigente el Certificado de Operador Aéreo (COA) para la operación de vuelos regulares y no regulares de transporte de pasajeros, carga y correo a nivel nacional e internacional.</t>
  </si>
  <si>
    <t>Gestionar los desplazamientos del personal operativo para inspecciones, auditorías, supervisiones y coordinación con la DGAC dentro del país.</t>
  </si>
  <si>
    <t>Gestionar viajes del personal de pilotos para capacitación (realizar simulador de vuelo), reuniones técnicas o certificaciones internacionales relacionadas con la operación aérea orientada al cumplimiento de la reglamentacion aeronautica vigente, para mantener vigente el AOC.</t>
  </si>
  <si>
    <t>Cubrir viáticos del personal que realiza actividad aérea, inspecciones operativas, auditorías y supervisión de bases operacionales nacionales.</t>
  </si>
  <si>
    <t>Gestionar viáticos del personal que participe en entrenamientos en el exterior (realizar simulador de vuelo) certificaciones o reuniones técnicas internacionales vinculadas con la operación aérea.</t>
  </si>
  <si>
    <t>Gestionar el traslado del personal operativo hacia aeropuertos, bases y lugares donde se desarrollen actividades relacionadas con nuestras operaciones aereas, garantizando la continuidad de nuestros itinerarios, cumpliendo con los requisitos de tiempos y cantidad de personal para cada operacion, exigido por la Autoridad Aéronautica para mantener vigente el AOC.</t>
  </si>
  <si>
    <t>Adquirir uniformes, chalecos o prendas institucionales necesarias para el personal operativo en los aeropuertos en donde esta operando la EPTAM.</t>
  </si>
  <si>
    <t>Dotar al personal operativo con uniformes reglamentarios conforme a la normativa institucional y aeronáutica.</t>
  </si>
  <si>
    <t>Proveer calzado de seguridad o reglamentario para el personal que desarrolla actividades operacionales en plataforma de aeropuertos en donde esta operando la EPTAM.</t>
  </si>
  <si>
    <t>Adquirir productos para limpieza de la aeronave, desinfección e insumos farmaceuticos para el equipamiento de los botiquines de las oficinas de aeropuertos.</t>
  </si>
  <si>
    <t>Adquirir señalización, protectores, recipientes y materiales plásticos utilizados en las áreas operacionales.</t>
  </si>
  <si>
    <t>Dotar de materiales de limpieza para mantener condiciones adecuadas en las instalaciones operativas de cada aeropuerto y de la aeronave.</t>
  </si>
  <si>
    <t>Adquirir materiales diversos necesarios como paraguas, sillas de ruedas, que permitan cumplir con los requisitos de facilitacion aeropuertuaria exigida por la Autoridad Aeronautica y la ATT.</t>
  </si>
  <si>
    <t>Adquirir equipos informáticos para la gestión operativa, planificación de vuelos y administración documental de todas nuestras operaciones aereas.</t>
  </si>
  <si>
    <t>Dotar al personal con equipos de comunicación que permitan la comunicación y coordinación segura, buscando eficiencia de las operaciones aéreas, requisito de seguridad exigido por la Autoridad Aéronautica, para preservar la vigencia del AOC.</t>
  </si>
  <si>
    <t>Gestionar la adquisición o renovación de licencias de software aeronáutico, bases de datos, suscripciones aeronauticas, suscripciones de comunicación satelital y publicaciones técnicas, que permitan garantizar los estandares de navegacion, gestion de la informacion y comunicacion con la aeronave desde tierra, requisitos exigidos por la Autoridad Aeronautica .</t>
  </si>
  <si>
    <t>Contratar personal de consultores especializados para que las operaciones aereas se realicen con los niveles de seguridad operacional aceptables, cumpliendo procedimientos y requisitos ante la autoridad aeronautica necesarios para mantener vigente el AOC.</t>
  </si>
  <si>
    <t>Programar y ejecutar la capacitación continua del personal de operaciones conforme a la normativa DGAC y manuales aprobados.</t>
  </si>
  <si>
    <t>Gestionar la contratación y renovación de seguros requeridos para la tripulación que garanticen la covertura de las operaciones aéreas y el cumplimiento normativo.</t>
  </si>
  <si>
    <t>Gestionar el abastecimiento de combustible y lubricantes para las aeronaves de la EPTAM, vehículos y equipos de apoyo en tierra que garanticen la continuidad de las operaciones aereas y garanticen la vigencia del AOC.</t>
  </si>
  <si>
    <t>Realizar el mantenimiento de equipos de apoyo en tierra utilizados en las operaciones aéreas.</t>
  </si>
  <si>
    <t>Elaborar e imprimir manuales operacionales, listas de verificación, Formularios relacionados al despacho, Formularios de la gestion de la informacion de la aeronave, credenciales y documentación requerida por la Autoridad Aeronautica, que permiten realizar las operaciones aereas enmarcados en los lineamientos de AOC.</t>
  </si>
  <si>
    <t>Cubrir gastos operativos extraordinarios necesarios para mantener la continuidad operacional y el cumplimiento de los requisitos del AOC.</t>
  </si>
  <si>
    <t>Proveer alimentación al personal durante operativos, inspecciones, auditorías o jornadas prolongadas de trabajo operacional.</t>
  </si>
  <si>
    <t>Certificado de Operador Aéreo (COA) vigente durante la gestión 2027, mediante el cumplimiento oportuno de los procesos de revalidación e inspecciones exigidos por la DGAC.</t>
  </si>
  <si>
    <t xml:space="preserve">Aeronave Aeronavegable para realizar operaciones aereas dando cumplimiento al Programa de Mantenimiento EP-TAM de acuerdo al MPD (Maintenance Planing Data) del fabricante </t>
  </si>
  <si>
    <t>Inspection "Daily Check"</t>
  </si>
  <si>
    <t>Inspection "Weekly Check"</t>
  </si>
  <si>
    <t>Inspection "28 Days Check"</t>
  </si>
  <si>
    <t>Inspection "500 FC Check" (Inspección por 500 ciclos)</t>
  </si>
  <si>
    <t>Inspection "A" Check (Inspección por 625 ciclos)</t>
  </si>
  <si>
    <r>
      <t xml:space="preserve">Renovación del servicio de DOMINIO de </t>
    </r>
    <r>
      <rPr>
        <b/>
        <sz val="11"/>
        <color theme="1"/>
        <rFont val="Arial"/>
        <family val="2"/>
      </rPr>
      <t>tamep.bo</t>
    </r>
  </si>
  <si>
    <t xml:space="preserve">Mantener vigente el certificado
de aeronavegabilidad
continua de la aeronave AVRO RJ70 MATRICULA CP3106, ante la Dirección General de Aeronáutica Civil DGAC, dando cumplimiento al
PM (Programa de Mantenimiento) y al MCM (Manual de Control de
Mantenimiento). </t>
  </si>
  <si>
    <t>1 ADMINISTRACION CENTRAL</t>
  </si>
  <si>
    <t>2.1 GESTION FINANCIERA</t>
  </si>
  <si>
    <t>410 SERVICIOS DE TRANSPORTE AÉREO</t>
  </si>
  <si>
    <t>210 OPERACIONES FLOTA EPTAM</t>
  </si>
  <si>
    <t>1/1/2027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</si>
</sst>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_ * #,##0.00_ ;_ * \-#,##0.00_ ;_ * &quot;-&quot;??_ ;_ @_ "/>
    <numFmt numFmtId="166" formatCode="_-* #,##0_-;\-* #,##0_-;_-* &quot;-&quot;??_-;_-@_-"/>
    <numFmt numFmtId="167" formatCode="_-* #,##0.00_-;\-* #,##0.00_-;_-* &quot;-&quot;??_-;_-@"/>
    <numFmt numFmtId="168" formatCode="_-* #,##0.00\ _€_-;\-* #,##0.00\ _€_-;_-* &quot;-&quot;??\ _€_-;_-@"/>
    <numFmt numFmtId="169" formatCode="_-* #,##0\ _€_-;\-* #,##0\ _€_-;_-* &quot;-&quot;??\ _€_-;_-@"/>
  </numFmts>
  <fonts count="7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entury Gothic"/>
      <family val="2"/>
    </font>
    <font>
      <b/>
      <sz val="11"/>
      <color theme="1"/>
      <name val="Century Gothic"/>
      <family val="2"/>
    </font>
    <font>
      <b/>
      <sz val="16"/>
      <color theme="1"/>
      <name val="Calibri"/>
      <family val="2"/>
      <scheme val="minor"/>
    </font>
    <font>
      <b/>
      <sz val="16"/>
      <color theme="1"/>
      <name val="Century Gothic"/>
      <family val="2"/>
    </font>
    <font>
      <b/>
      <sz val="10"/>
      <color theme="1"/>
      <name val="Century Gothic"/>
      <family val="2"/>
    </font>
    <font>
      <sz val="10"/>
      <color theme="1"/>
      <name val="Century Gothic"/>
      <family val="2"/>
    </font>
    <font>
      <b/>
      <sz val="10"/>
      <color theme="0"/>
      <name val="Century Gothic"/>
      <family val="2"/>
    </font>
    <font>
      <sz val="9"/>
      <color theme="1"/>
      <name val="Century Gothic"/>
      <family val="2"/>
    </font>
    <font>
      <b/>
      <sz val="10"/>
      <color theme="0"/>
      <name val="Calibri"/>
      <family val="2"/>
      <scheme val="minor"/>
    </font>
    <font>
      <sz val="11"/>
      <color theme="0"/>
      <name val="Calibri"/>
      <family val="2"/>
      <scheme val="minor"/>
    </font>
    <font>
      <b/>
      <sz val="10"/>
      <name val="Century Gothic"/>
      <family val="2"/>
    </font>
    <font>
      <sz val="11"/>
      <name val="Calibri"/>
      <family val="2"/>
      <scheme val="minor"/>
    </font>
    <font>
      <b/>
      <sz val="11"/>
      <name val="Century Gothic"/>
      <family val="2"/>
    </font>
    <font>
      <sz val="11"/>
      <name val="Century Gothic"/>
      <family val="2"/>
    </font>
    <font>
      <b/>
      <sz val="16"/>
      <name val="Century Gothic"/>
      <family val="2"/>
    </font>
    <font>
      <sz val="16"/>
      <name val="Century Gothic"/>
      <family val="2"/>
    </font>
    <font>
      <sz val="10"/>
      <color theme="0"/>
      <name val="Century Gothic"/>
      <family val="2"/>
    </font>
    <font>
      <sz val="10"/>
      <name val="Century Gothic"/>
      <family val="2"/>
    </font>
    <font>
      <b/>
      <sz val="14"/>
      <name val="Century Gothic"/>
      <family val="2"/>
    </font>
    <font>
      <sz val="14"/>
      <name val="Century Gothic"/>
      <family val="2"/>
    </font>
    <font>
      <b/>
      <sz val="14"/>
      <name val="Calibri"/>
      <family val="2"/>
      <scheme val="minor"/>
    </font>
    <font>
      <sz val="14"/>
      <name val="Calibri"/>
      <family val="2"/>
      <scheme val="minor"/>
    </font>
    <font>
      <sz val="16"/>
      <color theme="1"/>
      <name val="Century Gothic"/>
      <family val="2"/>
    </font>
    <font>
      <b/>
      <sz val="14"/>
      <color theme="1"/>
      <name val="Century Gothic"/>
      <family val="2"/>
    </font>
    <font>
      <sz val="14"/>
      <color theme="1"/>
      <name val="Century Gothic"/>
      <family val="2"/>
    </font>
    <font>
      <sz val="10"/>
      <color theme="1"/>
      <name val="Calibri"/>
      <family val="2"/>
      <scheme val="minor"/>
    </font>
    <font>
      <sz val="8"/>
      <color theme="1"/>
      <name val="Century Gothic"/>
      <family val="2"/>
    </font>
    <font>
      <sz val="18"/>
      <name val="Century Gothic"/>
      <family val="2"/>
    </font>
    <font>
      <sz val="9"/>
      <name val="Century Gothic"/>
      <family val="2"/>
    </font>
    <font>
      <sz val="11"/>
      <name val="Calibri"/>
      <family val="2"/>
    </font>
    <font>
      <sz val="12"/>
      <name val="Calibri"/>
      <family val="2"/>
    </font>
    <font>
      <sz val="12"/>
      <name val="Century Gothic"/>
      <family val="2"/>
    </font>
    <font>
      <b/>
      <sz val="10"/>
      <name val="Arial"/>
      <family val="2"/>
    </font>
    <font>
      <b/>
      <sz val="10"/>
      <color rgb="FF000000"/>
      <name val="Arial"/>
      <family val="2"/>
    </font>
    <font>
      <sz val="12"/>
      <color theme="1"/>
      <name val="Calibri"/>
      <family val="2"/>
      <scheme val="minor"/>
    </font>
    <font>
      <b/>
      <sz val="14"/>
      <color theme="1"/>
      <name val="Calibri"/>
      <family val="2"/>
      <scheme val="minor"/>
    </font>
    <font>
      <b/>
      <sz val="10"/>
      <color rgb="FF000000"/>
      <name val="Century Gothic"/>
      <family val="2"/>
    </font>
    <font>
      <b/>
      <sz val="9"/>
      <color theme="1"/>
      <name val="Arial"/>
      <family val="2"/>
    </font>
    <font>
      <sz val="9"/>
      <color theme="0"/>
      <name val="Arial"/>
      <family val="2"/>
    </font>
    <font>
      <sz val="9"/>
      <color theme="1"/>
      <name val="Arial"/>
      <family val="2"/>
    </font>
    <font>
      <sz val="11"/>
      <color theme="1"/>
      <name val="Arial"/>
      <family val="2"/>
    </font>
    <font>
      <sz val="9"/>
      <color rgb="FF000000"/>
      <name val="Arial"/>
      <family val="2"/>
    </font>
    <font>
      <b/>
      <sz val="8"/>
      <color theme="1"/>
      <name val="Arial"/>
      <family val="2"/>
    </font>
    <font>
      <sz val="8"/>
      <color theme="1"/>
      <name val="Arial"/>
      <family val="2"/>
    </font>
    <font>
      <b/>
      <sz val="11"/>
      <color theme="1"/>
      <name val="Calibri"/>
      <family val="2"/>
      <scheme val="minor"/>
    </font>
    <font>
      <b/>
      <sz val="11"/>
      <color rgb="FFFF0000"/>
      <name val="Calibri"/>
      <family val="2"/>
      <scheme val="minor"/>
    </font>
    <font>
      <sz val="10"/>
      <name val="Calibri"/>
      <family val="2"/>
      <scheme val="minor"/>
    </font>
    <font>
      <b/>
      <sz val="22"/>
      <color theme="1"/>
      <name val="Calibri"/>
      <family val="2"/>
      <scheme val="minor"/>
    </font>
    <font>
      <sz val="10"/>
      <color rgb="FFFF0000"/>
      <name val="Century Gothic"/>
      <family val="2"/>
    </font>
    <font>
      <u/>
      <sz val="10"/>
      <color indexed="12"/>
      <name val="Arial"/>
      <family val="2"/>
    </font>
    <font>
      <sz val="10"/>
      <name val="Arial"/>
      <family val="2"/>
    </font>
    <font>
      <sz val="10"/>
      <color indexed="8"/>
      <name val="Arial"/>
      <family val="2"/>
    </font>
    <font>
      <sz val="11"/>
      <color rgb="FF000000"/>
      <name val="Calibri"/>
      <family val="2"/>
      <scheme val="minor"/>
    </font>
    <font>
      <b/>
      <i/>
      <sz val="14"/>
      <color theme="1"/>
      <name val="Century Gothic"/>
      <family val="2"/>
    </font>
    <font>
      <b/>
      <sz val="9"/>
      <name val="Tahoma"/>
      <family val="2"/>
    </font>
    <font>
      <sz val="9"/>
      <name val="Tahoma"/>
      <family val="2"/>
    </font>
    <font>
      <b/>
      <sz val="11"/>
      <name val="Tahoma"/>
      <family val="2"/>
    </font>
    <font>
      <sz val="11"/>
      <color theme="1"/>
      <name val="Calibri"/>
      <family val="2"/>
      <scheme val="minor"/>
    </font>
    <font>
      <b/>
      <sz val="11"/>
      <color theme="0"/>
      <name val="Calibri"/>
      <family val="2"/>
      <scheme val="minor"/>
    </font>
    <font>
      <sz val="11"/>
      <color theme="1"/>
      <name val="Calibri"/>
      <family val="2"/>
    </font>
    <font>
      <b/>
      <sz val="11"/>
      <color theme="1"/>
      <name val="Century Gothic"/>
      <family val="2"/>
    </font>
    <font>
      <sz val="12"/>
      <name val="Calibri"/>
      <family val="2"/>
      <scheme val="minor"/>
    </font>
    <font>
      <sz val="12"/>
      <color theme="1"/>
      <name val="Arial"/>
      <family val="2"/>
    </font>
    <font>
      <sz val="12"/>
      <color theme="1"/>
      <name val="Calibri"/>
      <family val="2"/>
      <scheme val="minor"/>
    </font>
    <font>
      <b/>
      <sz val="12"/>
      <color theme="1"/>
      <name val="Calibri"/>
      <family val="2"/>
      <scheme val="minor"/>
    </font>
    <font>
      <sz val="11"/>
      <name val="Arial"/>
      <family val="2"/>
    </font>
    <font>
      <sz val="11"/>
      <color rgb="FF000000"/>
      <name val="Arial"/>
      <family val="2"/>
    </font>
    <font>
      <b/>
      <sz val="11"/>
      <color theme="1"/>
      <name val="Arial"/>
      <family val="2"/>
    </font>
  </fonts>
  <fills count="17">
    <fill>
      <patternFill patternType="none"/>
    </fill>
    <fill>
      <patternFill patternType="gray125"/>
    </fill>
    <fill>
      <patternFill patternType="solid">
        <fgColor rgb="FF003B61"/>
        <bgColor indexed="64"/>
      </patternFill>
    </fill>
    <fill>
      <patternFill patternType="solid">
        <fgColor theme="2" tint="-0.749992370372631"/>
        <bgColor indexed="64"/>
      </patternFill>
    </fill>
    <fill>
      <patternFill patternType="solid">
        <fgColor rgb="FF046997"/>
        <bgColor indexed="64"/>
      </patternFill>
    </fill>
    <fill>
      <patternFill patternType="solid">
        <fgColor theme="4" tint="0.59999389629810485"/>
        <bgColor indexed="64"/>
      </patternFill>
    </fill>
    <fill>
      <patternFill patternType="solid">
        <fgColor theme="0" tint="-0.14996795556505021"/>
        <bgColor indexed="64"/>
      </patternFill>
    </fill>
    <fill>
      <patternFill patternType="solid">
        <fgColor rgb="FF142157"/>
        <bgColor indexed="64"/>
      </patternFill>
    </fill>
    <fill>
      <patternFill patternType="solid">
        <fgColor theme="3" tint="-0.499984740745262"/>
        <bgColor indexed="64"/>
      </patternFill>
    </fill>
    <fill>
      <patternFill patternType="solid">
        <fgColor rgb="FF003B61"/>
        <bgColor rgb="FF002060"/>
      </patternFill>
    </fill>
    <fill>
      <patternFill patternType="solid">
        <fgColor rgb="FF046997"/>
        <bgColor rgb="FF002060"/>
      </patternFill>
    </fill>
    <fill>
      <patternFill patternType="solid">
        <fgColor theme="0"/>
        <bgColor indexed="64"/>
      </patternFill>
    </fill>
    <fill>
      <patternFill patternType="solid">
        <fgColor rgb="FFD1E4F7"/>
        <bgColor rgb="FFDEEAF6"/>
      </patternFill>
    </fill>
    <fill>
      <patternFill patternType="solid">
        <fgColor theme="8" tint="-0.499984740745262"/>
        <bgColor rgb="FF002060"/>
      </patternFill>
    </fill>
    <fill>
      <patternFill patternType="solid">
        <fgColor rgb="FFFFFF00"/>
        <bgColor indexed="64"/>
      </patternFill>
    </fill>
    <fill>
      <patternFill patternType="solid">
        <fgColor rgb="FFD1E4F7"/>
        <bgColor indexed="64"/>
      </patternFill>
    </fill>
    <fill>
      <patternFill patternType="solid">
        <fgColor theme="8" tint="-0.499984740745262"/>
        <bgColor indexed="64"/>
      </patternFill>
    </fill>
  </fills>
  <borders count="126">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theme="0"/>
      </left>
      <right style="thin">
        <color theme="0"/>
      </right>
      <top style="thin">
        <color auto="1"/>
      </top>
      <bottom/>
      <diagonal/>
    </border>
    <border>
      <left style="thin">
        <color auto="1"/>
      </left>
      <right/>
      <top/>
      <bottom style="thin">
        <color auto="1"/>
      </bottom>
      <diagonal/>
    </border>
    <border>
      <left style="thin">
        <color theme="0"/>
      </left>
      <right style="thin">
        <color theme="0"/>
      </right>
      <top/>
      <bottom style="thin">
        <color theme="0"/>
      </bottom>
      <diagonal/>
    </border>
    <border>
      <left style="thin">
        <color theme="0"/>
      </left>
      <right style="thin">
        <color theme="0"/>
      </right>
      <top/>
      <bottom style="thin">
        <color auto="1"/>
      </bottom>
      <diagonal/>
    </border>
    <border>
      <left style="thin">
        <color auto="1"/>
      </left>
      <right style="thin">
        <color auto="1"/>
      </right>
      <top style="thin">
        <color auto="1"/>
      </top>
      <bottom style="thin">
        <color auto="1"/>
      </bottom>
      <diagonal/>
    </border>
    <border>
      <left/>
      <right style="thin">
        <color theme="0"/>
      </right>
      <top style="thin">
        <color auto="1"/>
      </top>
      <bottom style="thin">
        <color auto="1"/>
      </bottom>
      <diagonal/>
    </border>
    <border>
      <left style="thin">
        <color theme="0"/>
      </left>
      <right/>
      <top style="thin">
        <color auto="1"/>
      </top>
      <bottom style="thin">
        <color auto="1"/>
      </bottom>
      <diagonal/>
    </border>
    <border>
      <left style="thin">
        <color auto="1"/>
      </left>
      <right/>
      <top style="thin">
        <color auto="1"/>
      </top>
      <bottom style="thin">
        <color theme="0"/>
      </bottom>
      <diagonal/>
    </border>
    <border>
      <left/>
      <right/>
      <top style="thin">
        <color auto="1"/>
      </top>
      <bottom style="thin">
        <color theme="0"/>
      </bottom>
      <diagonal/>
    </border>
    <border>
      <left style="thin">
        <color theme="0"/>
      </left>
      <right/>
      <top style="thin">
        <color auto="1"/>
      </top>
      <bottom style="thin">
        <color theme="0"/>
      </bottom>
      <diagonal/>
    </border>
    <border>
      <left/>
      <right style="thin">
        <color theme="0"/>
      </right>
      <top style="thin">
        <color auto="1"/>
      </top>
      <bottom style="thin">
        <color theme="0"/>
      </bottom>
      <diagonal/>
    </border>
    <border>
      <left style="thin">
        <color auto="1"/>
      </left>
      <right style="thin">
        <color theme="0"/>
      </right>
      <top style="thin">
        <color theme="0"/>
      </top>
      <bottom/>
      <diagonal/>
    </border>
    <border>
      <left style="thin">
        <color theme="0"/>
      </left>
      <right/>
      <top style="thin">
        <color theme="0"/>
      </top>
      <bottom/>
      <diagonal/>
    </border>
    <border>
      <left style="thin">
        <color theme="0"/>
      </left>
      <right style="thin">
        <color theme="0"/>
      </right>
      <top style="thin">
        <color theme="0"/>
      </top>
      <bottom/>
      <diagonal/>
    </border>
    <border>
      <left style="thin">
        <color theme="0"/>
      </left>
      <right style="thin">
        <color theme="0"/>
      </right>
      <top/>
      <bottom/>
      <diagonal/>
    </border>
    <border>
      <left/>
      <right/>
      <top style="thin">
        <color auto="1"/>
      </top>
      <bottom style="thin">
        <color auto="1"/>
      </bottom>
      <diagonal/>
    </border>
    <border>
      <left style="thin">
        <color theme="0"/>
      </left>
      <right style="thin">
        <color auto="1"/>
      </right>
      <top style="thin">
        <color auto="1"/>
      </top>
      <bottom/>
      <diagonal/>
    </border>
    <border>
      <left style="thin">
        <color theme="0"/>
      </left>
      <right style="thin">
        <color auto="1"/>
      </right>
      <top/>
      <bottom/>
      <diagonal/>
    </border>
    <border>
      <left style="thin">
        <color theme="0"/>
      </left>
      <right style="thin">
        <color auto="1"/>
      </right>
      <top style="thin">
        <color auto="1"/>
      </top>
      <bottom style="thin">
        <color auto="1"/>
      </bottom>
      <diagonal/>
    </border>
    <border>
      <left style="thin">
        <color auto="1"/>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thin">
        <color auto="1"/>
      </left>
      <right style="thin">
        <color theme="0"/>
      </right>
      <top style="thin">
        <color theme="0"/>
      </top>
      <bottom style="thin">
        <color rgb="FF000000"/>
      </bottom>
      <diagonal/>
    </border>
    <border>
      <left style="thin">
        <color theme="0"/>
      </left>
      <right style="thin">
        <color theme="0"/>
      </right>
      <top style="thin">
        <color theme="0"/>
      </top>
      <bottom style="thin">
        <color rgb="FF000000"/>
      </bottom>
      <diagonal/>
    </border>
    <border>
      <left style="thin">
        <color auto="1"/>
      </left>
      <right style="dotted">
        <color rgb="FF000000"/>
      </right>
      <top style="thin">
        <color rgb="FF000000"/>
      </top>
      <bottom/>
      <diagonal/>
    </border>
    <border>
      <left style="dotted">
        <color rgb="FF000000"/>
      </left>
      <right/>
      <top style="thin">
        <color rgb="FF000000"/>
      </top>
      <bottom style="dotted">
        <color rgb="FF000000"/>
      </bottom>
      <diagonal/>
    </border>
    <border>
      <left style="thin">
        <color rgb="FF000000"/>
      </left>
      <right style="dotted">
        <color rgb="FF000000"/>
      </right>
      <top style="thin">
        <color rgb="FF000000"/>
      </top>
      <bottom style="dotted">
        <color rgb="FF000000"/>
      </bottom>
      <diagonal/>
    </border>
    <border>
      <left style="dotted">
        <color rgb="FF000000"/>
      </left>
      <right style="dotted">
        <color rgb="FF000000"/>
      </right>
      <top style="thin">
        <color rgb="FF000000"/>
      </top>
      <bottom style="dotted">
        <color rgb="FF000000"/>
      </bottom>
      <diagonal/>
    </border>
    <border>
      <left style="thin">
        <color auto="1"/>
      </left>
      <right style="dotted">
        <color rgb="FF000000"/>
      </right>
      <top/>
      <bottom style="thin">
        <color rgb="FF000000"/>
      </bottom>
      <diagonal/>
    </border>
    <border>
      <left style="dotted">
        <color rgb="FF000000"/>
      </left>
      <right/>
      <top style="dotted">
        <color rgb="FF000000"/>
      </top>
      <bottom style="thin">
        <color rgb="FF000000"/>
      </bottom>
      <diagonal/>
    </border>
    <border>
      <left style="thin">
        <color rgb="FF000000"/>
      </left>
      <right style="dotted">
        <color rgb="FF000000"/>
      </right>
      <top style="dotted">
        <color rgb="FF000000"/>
      </top>
      <bottom style="thin">
        <color rgb="FF000000"/>
      </bottom>
      <diagonal/>
    </border>
    <border>
      <left style="dotted">
        <color rgb="FF000000"/>
      </left>
      <right style="dotted">
        <color rgb="FF000000"/>
      </right>
      <top style="dotted">
        <color rgb="FF000000"/>
      </top>
      <bottom style="thin">
        <color rgb="FF000000"/>
      </bottom>
      <diagonal/>
    </border>
    <border>
      <left style="thin">
        <color auto="1"/>
      </left>
      <right style="dotted">
        <color rgb="FF000000"/>
      </right>
      <top/>
      <bottom style="thin">
        <color auto="1"/>
      </bottom>
      <diagonal/>
    </border>
    <border>
      <left style="dotted">
        <color rgb="FF000000"/>
      </left>
      <right/>
      <top style="dotted">
        <color rgb="FF000000"/>
      </top>
      <bottom style="thin">
        <color auto="1"/>
      </bottom>
      <diagonal/>
    </border>
    <border>
      <left style="thin">
        <color rgb="FF000000"/>
      </left>
      <right style="dotted">
        <color rgb="FF000000"/>
      </right>
      <top style="dotted">
        <color rgb="FF000000"/>
      </top>
      <bottom style="thin">
        <color auto="1"/>
      </bottom>
      <diagonal/>
    </border>
    <border>
      <left style="dotted">
        <color rgb="FF000000"/>
      </left>
      <right style="dotted">
        <color rgb="FF000000"/>
      </right>
      <top style="dotted">
        <color rgb="FF000000"/>
      </top>
      <bottom style="thin">
        <color auto="1"/>
      </bottom>
      <diagonal/>
    </border>
    <border>
      <left style="thin">
        <color auto="1"/>
      </left>
      <right/>
      <top style="thin">
        <color auto="1"/>
      </top>
      <bottom style="thin">
        <color rgb="FF000000"/>
      </bottom>
      <diagonal/>
    </border>
    <border>
      <left/>
      <right style="thin">
        <color theme="0"/>
      </right>
      <top style="thin">
        <color auto="1"/>
      </top>
      <bottom style="thin">
        <color rgb="FF000000"/>
      </bottom>
      <diagonal/>
    </border>
    <border>
      <left/>
      <right/>
      <top style="thin">
        <color auto="1"/>
      </top>
      <bottom/>
      <diagonal/>
    </border>
    <border>
      <left style="thin">
        <color auto="1"/>
      </left>
      <right/>
      <top style="thin">
        <color rgb="FF000000"/>
      </top>
      <bottom style="thin">
        <color auto="1"/>
      </bottom>
      <diagonal/>
    </border>
    <border>
      <left/>
      <right style="thin">
        <color auto="1"/>
      </right>
      <top style="thin">
        <color rgb="FF000000"/>
      </top>
      <bottom style="thin">
        <color auto="1"/>
      </bottom>
      <diagonal/>
    </border>
    <border>
      <left/>
      <right/>
      <top/>
      <bottom style="thin">
        <color auto="1"/>
      </bottom>
      <diagonal/>
    </border>
    <border>
      <left style="thin">
        <color theme="0"/>
      </left>
      <right style="thin">
        <color auto="1"/>
      </right>
      <top style="thin">
        <color auto="1"/>
      </top>
      <bottom style="thin">
        <color theme="0"/>
      </bottom>
      <diagonal/>
    </border>
    <border>
      <left style="thin">
        <color theme="0"/>
      </left>
      <right style="thin">
        <color auto="1"/>
      </right>
      <top style="thin">
        <color theme="0"/>
      </top>
      <bottom style="thin">
        <color rgb="FF000000"/>
      </bottom>
      <diagonal/>
    </border>
    <border>
      <left style="dotted">
        <color rgb="FF000000"/>
      </left>
      <right style="thin">
        <color auto="1"/>
      </right>
      <top style="thin">
        <color rgb="FF000000"/>
      </top>
      <bottom style="dotted">
        <color rgb="FF000000"/>
      </bottom>
      <diagonal/>
    </border>
    <border>
      <left style="dotted">
        <color rgb="FF000000"/>
      </left>
      <right style="thin">
        <color auto="1"/>
      </right>
      <top style="dotted">
        <color rgb="FF000000"/>
      </top>
      <bottom style="thin">
        <color rgb="FF000000"/>
      </bottom>
      <diagonal/>
    </border>
    <border>
      <left style="dotted">
        <color rgb="FF000000"/>
      </left>
      <right style="thin">
        <color auto="1"/>
      </right>
      <top style="dotted">
        <color rgb="FF000000"/>
      </top>
      <bottom style="thin">
        <color auto="1"/>
      </bottom>
      <diagonal/>
    </border>
    <border>
      <left/>
      <right style="thin">
        <color rgb="FF000000"/>
      </right>
      <top/>
      <bottom style="thin">
        <color auto="1"/>
      </bottom>
      <diagonal/>
    </border>
    <border>
      <left style="thin">
        <color rgb="FF000000"/>
      </left>
      <right/>
      <top style="thin">
        <color auto="1"/>
      </top>
      <bottom style="thin">
        <color auto="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diagonal/>
    </border>
    <border>
      <left/>
      <right style="thin">
        <color theme="0"/>
      </right>
      <top style="thin">
        <color theme="0"/>
      </top>
      <bottom/>
      <diagonal/>
    </border>
    <border>
      <left style="thin">
        <color auto="1"/>
      </left>
      <right style="thin">
        <color theme="0"/>
      </right>
      <top style="thin">
        <color auto="1"/>
      </top>
      <bottom style="thin">
        <color theme="1"/>
      </bottom>
      <diagonal/>
    </border>
    <border>
      <left style="thin">
        <color theme="0"/>
      </left>
      <right style="thin">
        <color theme="0"/>
      </right>
      <top style="thin">
        <color auto="1"/>
      </top>
      <bottom style="thin">
        <color theme="1"/>
      </bottom>
      <diagonal/>
    </border>
    <border>
      <left style="thin">
        <color theme="0"/>
      </left>
      <right style="thin">
        <color auto="1"/>
      </right>
      <top style="thin">
        <color auto="1"/>
      </top>
      <bottom style="thin">
        <color theme="1"/>
      </bottom>
      <diagonal/>
    </border>
    <border>
      <left style="thin">
        <color auto="1"/>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thin">
        <color auto="1"/>
      </right>
      <top style="thin">
        <color theme="1"/>
      </top>
      <bottom style="thin">
        <color theme="1"/>
      </bottom>
      <diagonal/>
    </border>
    <border>
      <left style="thin">
        <color auto="1"/>
      </left>
      <right style="thin">
        <color theme="1"/>
      </right>
      <top style="thin">
        <color theme="1"/>
      </top>
      <bottom style="thin">
        <color auto="1"/>
      </bottom>
      <diagonal/>
    </border>
    <border>
      <left style="thin">
        <color theme="1"/>
      </left>
      <right style="thin">
        <color theme="1"/>
      </right>
      <top style="thin">
        <color theme="1"/>
      </top>
      <bottom style="thin">
        <color auto="1"/>
      </bottom>
      <diagonal/>
    </border>
    <border>
      <left style="thin">
        <color theme="1"/>
      </left>
      <right style="thin">
        <color auto="1"/>
      </right>
      <top style="thin">
        <color theme="1"/>
      </top>
      <bottom style="thin">
        <color auto="1"/>
      </bottom>
      <diagonal/>
    </border>
    <border>
      <left style="thin">
        <color auto="1"/>
      </left>
      <right style="thin">
        <color theme="0"/>
      </right>
      <top style="thin">
        <color auto="1"/>
      </top>
      <bottom style="thin">
        <color auto="1"/>
      </bottom>
      <diagonal/>
    </border>
    <border>
      <left style="thin">
        <color theme="0"/>
      </left>
      <right style="thin">
        <color theme="0"/>
      </right>
      <top style="thin">
        <color auto="1"/>
      </top>
      <bottom style="thin">
        <color auto="1"/>
      </bottom>
      <diagonal/>
    </border>
    <border>
      <left/>
      <right style="thin">
        <color theme="0"/>
      </right>
      <top/>
      <bottom style="thin">
        <color theme="0"/>
      </bottom>
      <diagonal/>
    </border>
    <border>
      <left style="thin">
        <color auto="1"/>
      </left>
      <right style="thin">
        <color theme="0"/>
      </right>
      <top style="thin">
        <color auto="1"/>
      </top>
      <bottom/>
      <diagonal/>
    </border>
    <border>
      <left style="thin">
        <color auto="1"/>
      </left>
      <right/>
      <top style="thin">
        <color auto="1"/>
      </top>
      <bottom style="thin">
        <color theme="1"/>
      </bottom>
      <diagonal/>
    </border>
    <border>
      <left/>
      <right/>
      <top style="thin">
        <color auto="1"/>
      </top>
      <bottom style="thin">
        <color theme="1"/>
      </bottom>
      <diagonal/>
    </border>
    <border>
      <left/>
      <right style="thin">
        <color theme="1"/>
      </right>
      <top style="thin">
        <color auto="1"/>
      </top>
      <bottom style="thin">
        <color theme="1"/>
      </bottom>
      <diagonal/>
    </border>
    <border>
      <left style="thin">
        <color theme="1"/>
      </left>
      <right style="thin">
        <color auto="1"/>
      </right>
      <top style="thin">
        <color auto="1"/>
      </top>
      <bottom style="thin">
        <color theme="1"/>
      </bottom>
      <diagonal/>
    </border>
    <border>
      <left style="thin">
        <color auto="1"/>
      </left>
      <right/>
      <top style="thin">
        <color theme="1"/>
      </top>
      <bottom style="thin">
        <color auto="1"/>
      </bottom>
      <diagonal/>
    </border>
    <border>
      <left/>
      <right/>
      <top style="thin">
        <color theme="1"/>
      </top>
      <bottom style="thin">
        <color auto="1"/>
      </bottom>
      <diagonal/>
    </border>
    <border>
      <left/>
      <right style="thin">
        <color theme="1"/>
      </right>
      <top style="thin">
        <color theme="1"/>
      </top>
      <bottom style="thin">
        <color auto="1"/>
      </bottom>
      <diagonal/>
    </border>
    <border>
      <left style="thin">
        <color auto="1"/>
      </left>
      <right/>
      <top style="thin">
        <color rgb="FF000000"/>
      </top>
      <bottom/>
      <diagonal/>
    </border>
    <border>
      <left style="thin">
        <color rgb="FF000000"/>
      </left>
      <right style="thin">
        <color rgb="FF000000"/>
      </right>
      <top style="thin">
        <color rgb="FF000000"/>
      </top>
      <bottom style="dotted">
        <color rgb="FF000000"/>
      </bottom>
      <diagonal/>
    </border>
    <border>
      <left style="thin">
        <color auto="1"/>
      </left>
      <right/>
      <top/>
      <bottom style="thin">
        <color rgb="FF000000"/>
      </bottom>
      <diagonal/>
    </border>
    <border>
      <left style="thin">
        <color rgb="FF000000"/>
      </left>
      <right style="thin">
        <color rgb="FF000000"/>
      </right>
      <top style="dotted">
        <color rgb="FF000000"/>
      </top>
      <bottom style="thin">
        <color rgb="FF000000"/>
      </bottom>
      <diagonal/>
    </border>
    <border>
      <left style="thin">
        <color rgb="FF000000"/>
      </left>
      <right style="thin">
        <color rgb="FF000000"/>
      </right>
      <top style="dotted">
        <color rgb="FF000000"/>
      </top>
      <bottom style="thin">
        <color auto="1"/>
      </bottom>
      <diagonal/>
    </border>
    <border>
      <left style="thin">
        <color rgb="FF000000"/>
      </left>
      <right style="thin">
        <color auto="1"/>
      </right>
      <top style="thin">
        <color rgb="FF000000"/>
      </top>
      <bottom style="dotted">
        <color rgb="FF000000"/>
      </bottom>
      <diagonal/>
    </border>
    <border>
      <left style="thin">
        <color rgb="FF000000"/>
      </left>
      <right style="thin">
        <color auto="1"/>
      </right>
      <top style="dotted">
        <color rgb="FF000000"/>
      </top>
      <bottom style="thin">
        <color rgb="FF000000"/>
      </bottom>
      <diagonal/>
    </border>
    <border>
      <left style="thin">
        <color rgb="FF000000"/>
      </left>
      <right style="thin">
        <color auto="1"/>
      </right>
      <top style="dotted">
        <color rgb="FF000000"/>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dotted">
        <color auto="1"/>
      </bottom>
      <diagonal/>
    </border>
    <border>
      <left style="thin">
        <color auto="1"/>
      </left>
      <right style="thin">
        <color auto="1"/>
      </right>
      <top/>
      <bottom/>
      <diagonal/>
    </border>
    <border>
      <left style="thin">
        <color auto="1"/>
      </left>
      <right style="thin">
        <color auto="1"/>
      </right>
      <top style="dotted">
        <color auto="1"/>
      </top>
      <bottom style="dotted">
        <color auto="1"/>
      </bottom>
      <diagonal/>
    </border>
    <border>
      <left style="thin">
        <color auto="1"/>
      </left>
      <right style="thin">
        <color auto="1"/>
      </right>
      <top/>
      <bottom style="thin">
        <color auto="1"/>
      </bottom>
      <diagonal/>
    </border>
    <border>
      <left style="thin">
        <color auto="1"/>
      </left>
      <right style="thin">
        <color auto="1"/>
      </right>
      <top style="dotted">
        <color auto="1"/>
      </top>
      <bottom style="thin">
        <color auto="1"/>
      </bottom>
      <diagonal/>
    </border>
    <border>
      <left/>
      <right/>
      <top style="thin">
        <color auto="1"/>
      </top>
      <bottom style="thin">
        <color rgb="FF000000"/>
      </bottom>
      <diagonal/>
    </border>
    <border>
      <left/>
      <right/>
      <top style="thin">
        <color rgb="FF000000"/>
      </top>
      <bottom style="thin">
        <color auto="1"/>
      </bottom>
      <diagonal/>
    </border>
    <border>
      <left/>
      <right style="thin">
        <color rgb="FF000000"/>
      </right>
      <top style="thin">
        <color auto="1"/>
      </top>
      <bottom style="thin">
        <color auto="1"/>
      </bottom>
      <diagonal/>
    </border>
    <border>
      <left/>
      <right style="thin">
        <color auto="1"/>
      </right>
      <top style="thin">
        <color auto="1"/>
      </top>
      <bottom style="thin">
        <color theme="0"/>
      </bottom>
      <diagonal/>
    </border>
    <border>
      <left style="thin">
        <color theme="0"/>
      </left>
      <right style="thin">
        <color auto="1"/>
      </right>
      <top style="thin">
        <color theme="0"/>
      </top>
      <bottom/>
      <diagonal/>
    </border>
    <border>
      <left style="thin">
        <color auto="1"/>
      </left>
      <right/>
      <top/>
      <bottom/>
      <diagonal/>
    </border>
    <border>
      <left style="thin">
        <color theme="1"/>
      </left>
      <right/>
      <top style="thin">
        <color auto="1"/>
      </top>
      <bottom style="thin">
        <color auto="1"/>
      </bottom>
      <diagonal/>
    </border>
    <border>
      <left style="thin">
        <color theme="0"/>
      </left>
      <right/>
      <top style="thin">
        <color auto="1"/>
      </top>
      <bottom/>
      <diagonal/>
    </border>
    <border>
      <left style="thin">
        <color theme="0"/>
      </left>
      <right/>
      <top/>
      <bottom/>
      <diagonal/>
    </border>
    <border>
      <left style="thin">
        <color auto="1"/>
      </left>
      <right/>
      <top style="thin">
        <color theme="0"/>
      </top>
      <bottom style="thin">
        <color auto="1"/>
      </bottom>
      <diagonal/>
    </border>
    <border>
      <left/>
      <right/>
      <top style="thin">
        <color theme="0"/>
      </top>
      <bottom style="thin">
        <color auto="1"/>
      </bottom>
      <diagonal/>
    </border>
    <border>
      <left style="thin">
        <color theme="0"/>
      </left>
      <right/>
      <top style="thin">
        <color theme="0"/>
      </top>
      <bottom style="thin">
        <color auto="1"/>
      </bottom>
      <diagonal/>
    </border>
    <border>
      <left/>
      <right style="thin">
        <color theme="1"/>
      </right>
      <top/>
      <bottom style="thin">
        <color auto="1"/>
      </bottom>
      <diagonal/>
    </border>
    <border>
      <left style="thin">
        <color theme="1"/>
      </left>
      <right style="thin">
        <color auto="1"/>
      </right>
      <top style="thin">
        <color auto="1"/>
      </top>
      <bottom style="thin">
        <color auto="1"/>
      </bottom>
      <diagonal/>
    </border>
    <border>
      <left style="thin">
        <color theme="0"/>
      </left>
      <right style="thin">
        <color auto="1"/>
      </right>
      <top/>
      <bottom style="thin">
        <color auto="1"/>
      </bottom>
      <diagonal/>
    </border>
    <border>
      <left style="thin">
        <color theme="1"/>
      </left>
      <right style="thin">
        <color auto="1"/>
      </right>
      <top style="thin">
        <color auto="1"/>
      </top>
      <bottom/>
      <diagonal/>
    </border>
    <border>
      <left/>
      <right style="thin">
        <color auto="1"/>
      </right>
      <top style="thin">
        <color theme="0"/>
      </top>
      <bottom style="thin">
        <color auto="1"/>
      </bottom>
      <diagonal/>
    </border>
    <border>
      <left style="thin">
        <color auto="1"/>
      </left>
      <right style="thin">
        <color auto="1"/>
      </right>
      <top style="thin">
        <color auto="1"/>
      </top>
      <bottom style="thin">
        <color theme="0"/>
      </bottom>
      <diagonal/>
    </border>
    <border>
      <left style="thin">
        <color theme="0"/>
      </left>
      <right/>
      <top/>
      <bottom style="thin">
        <color auto="1"/>
      </bottom>
      <diagonal/>
    </border>
    <border>
      <left/>
      <right style="thin">
        <color theme="0"/>
      </right>
      <top style="thin">
        <color auto="1"/>
      </top>
      <bottom/>
      <diagonal/>
    </border>
    <border>
      <left style="thin">
        <color auto="1"/>
      </left>
      <right/>
      <top/>
      <bottom style="thin">
        <color theme="0"/>
      </bottom>
      <diagonal/>
    </border>
    <border>
      <left/>
      <right/>
      <top/>
      <bottom style="thin">
        <color theme="0"/>
      </bottom>
      <diagonal/>
    </border>
    <border>
      <left style="thin">
        <color theme="0"/>
      </left>
      <right style="thin">
        <color theme="0"/>
      </right>
      <top style="thin">
        <color theme="0"/>
      </top>
      <bottom style="thin">
        <color auto="1"/>
      </bottom>
      <diagonal/>
    </border>
    <border>
      <left style="thin">
        <color theme="0"/>
      </left>
      <right style="thin">
        <color auto="1"/>
      </right>
      <top style="thin">
        <color theme="0"/>
      </top>
      <bottom style="thin">
        <color theme="0"/>
      </bottom>
      <diagonal/>
    </border>
    <border>
      <left style="thin">
        <color theme="0"/>
      </left>
      <right style="thin">
        <color auto="1"/>
      </right>
      <top style="thin">
        <color theme="0"/>
      </top>
      <bottom style="thin">
        <color auto="1"/>
      </bottom>
      <diagonal/>
    </border>
    <border>
      <left style="thin">
        <color auto="1"/>
      </left>
      <right style="thin">
        <color theme="0"/>
      </right>
      <top style="thin">
        <color theme="0"/>
      </top>
      <bottom style="thin">
        <color auto="1"/>
      </bottom>
      <diagonal/>
    </border>
    <border>
      <left/>
      <right style="thin">
        <color auto="1"/>
      </right>
      <top/>
      <bottom style="thin">
        <color auto="1"/>
      </bottom>
      <diagonal/>
    </border>
    <border>
      <left style="thin">
        <color auto="1"/>
      </left>
      <right style="thin">
        <color theme="0"/>
      </right>
      <top style="thin">
        <color theme="0"/>
      </top>
      <bottom style="thin">
        <color theme="0"/>
      </bottom>
      <diagonal/>
    </border>
    <border>
      <left style="thin">
        <color theme="0"/>
      </left>
      <right/>
      <top/>
      <bottom style="thin">
        <color theme="0"/>
      </bottom>
      <diagonal/>
    </border>
    <border>
      <left style="thin">
        <color auto="1"/>
      </left>
      <right style="thin">
        <color auto="1"/>
      </right>
      <top/>
      <bottom style="thin">
        <color rgb="FF000000"/>
      </bottom>
      <diagonal/>
    </border>
    <border>
      <left/>
      <right style="thin">
        <color auto="1"/>
      </right>
      <top style="thin">
        <color auto="1"/>
      </top>
      <bottom/>
      <diagonal/>
    </border>
    <border>
      <left/>
      <right style="thin">
        <color auto="1"/>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s>
  <cellStyleXfs count="16">
    <xf numFmtId="0" fontId="0" fillId="0" borderId="0"/>
    <xf numFmtId="43" fontId="61" fillId="0" borderId="0" applyFont="0" applyFill="0" applyBorder="0" applyAlignment="0" applyProtection="0"/>
    <xf numFmtId="9" fontId="61" fillId="0" borderId="0" applyFont="0" applyFill="0" applyBorder="0" applyAlignment="0" applyProtection="0">
      <alignment vertical="center"/>
    </xf>
    <xf numFmtId="0" fontId="53" fillId="0" borderId="0" applyNumberFormat="0" applyFill="0" applyBorder="0" applyAlignment="0" applyProtection="0">
      <alignment vertical="top"/>
      <protection locked="0"/>
    </xf>
    <xf numFmtId="43" fontId="61" fillId="0" borderId="0" applyFont="0" applyFill="0" applyBorder="0" applyAlignment="0" applyProtection="0"/>
    <xf numFmtId="165" fontId="54" fillId="0" borderId="0" applyFont="0" applyFill="0" applyBorder="0" applyAlignment="0" applyProtection="0"/>
    <xf numFmtId="164" fontId="61" fillId="0" borderId="0" applyFont="0" applyFill="0" applyBorder="0" applyAlignment="0" applyProtection="0"/>
    <xf numFmtId="0" fontId="38" fillId="0" borderId="0"/>
    <xf numFmtId="0" fontId="54" fillId="0" borderId="0"/>
    <xf numFmtId="0" fontId="55" fillId="0" borderId="0"/>
    <xf numFmtId="0" fontId="33" fillId="0" borderId="0"/>
    <xf numFmtId="9" fontId="54" fillId="0" borderId="0" applyFont="0" applyFill="0" applyBorder="0" applyAlignment="0" applyProtection="0"/>
    <xf numFmtId="0" fontId="56" fillId="0" borderId="0"/>
    <xf numFmtId="0" fontId="33" fillId="0" borderId="0">
      <alignment vertical="center"/>
    </xf>
    <xf numFmtId="0" fontId="3" fillId="0" borderId="0"/>
    <xf numFmtId="0" fontId="33" fillId="0" borderId="0">
      <alignment vertical="center"/>
    </xf>
  </cellStyleXfs>
  <cellXfs count="754">
    <xf numFmtId="0" fontId="0" fillId="0" borderId="0" xfId="0"/>
    <xf numFmtId="0" fontId="0" fillId="0" borderId="0" xfId="0" applyAlignment="1">
      <alignment vertical="center"/>
    </xf>
    <xf numFmtId="0" fontId="4" fillId="0" borderId="0" xfId="0" applyFont="1"/>
    <xf numFmtId="0" fontId="5" fillId="0" borderId="0" xfId="0" applyFont="1"/>
    <xf numFmtId="0" fontId="6" fillId="0" borderId="0" xfId="0" applyFont="1"/>
    <xf numFmtId="0" fontId="5" fillId="0" borderId="0" xfId="0" applyFont="1" applyAlignment="1">
      <alignment horizontal="left" vertical="center"/>
    </xf>
    <xf numFmtId="0" fontId="4"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9" fillId="0" borderId="8" xfId="0" applyFont="1" applyBorder="1" applyAlignment="1">
      <alignment vertical="center"/>
    </xf>
    <xf numFmtId="0" fontId="9" fillId="0" borderId="2" xfId="0" applyFont="1" applyBorder="1" applyAlignment="1">
      <alignment vertical="center"/>
    </xf>
    <xf numFmtId="3" fontId="9" fillId="0" borderId="8" xfId="0" applyNumberFormat="1" applyFont="1" applyBorder="1" applyAlignment="1">
      <alignment vertical="center"/>
    </xf>
    <xf numFmtId="0" fontId="10" fillId="2" borderId="9" xfId="0" applyFont="1" applyFill="1" applyBorder="1" applyAlignment="1">
      <alignment horizontal="center" vertical="center"/>
    </xf>
    <xf numFmtId="3" fontId="10" fillId="2" borderId="10" xfId="0" applyNumberFormat="1" applyFont="1" applyFill="1" applyBorder="1" applyAlignment="1">
      <alignment horizontal="center" vertical="center"/>
    </xf>
    <xf numFmtId="0" fontId="11" fillId="0" borderId="0" xfId="0" applyFont="1" applyAlignment="1">
      <alignment vertical="center"/>
    </xf>
    <xf numFmtId="0" fontId="12" fillId="3" borderId="1" xfId="0" applyFont="1" applyFill="1" applyBorder="1" applyAlignment="1">
      <alignment horizontal="center" vertical="center"/>
    </xf>
    <xf numFmtId="0" fontId="10" fillId="4" borderId="15" xfId="0" applyFont="1" applyFill="1" applyBorder="1" applyAlignment="1">
      <alignment horizontal="center" vertical="center"/>
    </xf>
    <xf numFmtId="0" fontId="10" fillId="4" borderId="16" xfId="0" applyFont="1" applyFill="1" applyBorder="1" applyAlignment="1">
      <alignment horizontal="center" vertical="center" wrapText="1"/>
    </xf>
    <xf numFmtId="0" fontId="10" fillId="4" borderId="17" xfId="0" applyFont="1" applyFill="1" applyBorder="1" applyAlignment="1">
      <alignment horizontal="center" vertical="center"/>
    </xf>
    <xf numFmtId="0" fontId="10" fillId="4" borderId="17" xfId="0" applyFont="1" applyFill="1" applyBorder="1" applyAlignment="1">
      <alignment horizontal="center" vertical="center" wrapText="1"/>
    </xf>
    <xf numFmtId="0" fontId="0" fillId="0" borderId="1" xfId="0" applyBorder="1" applyAlignment="1">
      <alignment vertical="center"/>
    </xf>
    <xf numFmtId="0" fontId="13" fillId="3" borderId="1" xfId="0" applyFont="1" applyFill="1" applyBorder="1" applyAlignment="1">
      <alignment vertical="center"/>
    </xf>
    <xf numFmtId="0" fontId="10" fillId="7" borderId="19" xfId="0" applyFont="1" applyFill="1" applyBorder="1" applyAlignment="1">
      <alignment horizontal="center" vertical="center"/>
    </xf>
    <xf numFmtId="0" fontId="12" fillId="0" borderId="0" xfId="0" applyFont="1" applyAlignment="1">
      <alignment vertical="center"/>
    </xf>
    <xf numFmtId="0" fontId="12" fillId="8" borderId="19" xfId="0" applyFont="1" applyFill="1" applyBorder="1" applyAlignment="1">
      <alignment vertical="center"/>
    </xf>
    <xf numFmtId="0" fontId="0" fillId="0" borderId="19" xfId="0" applyBorder="1" applyAlignment="1">
      <alignment vertical="center"/>
    </xf>
    <xf numFmtId="0" fontId="0" fillId="0" borderId="0" xfId="0" applyAlignment="1">
      <alignment horizontal="left" vertical="center"/>
    </xf>
    <xf numFmtId="0" fontId="0" fillId="0" borderId="19" xfId="0" applyBorder="1" applyAlignment="1">
      <alignment horizontal="left" vertical="center"/>
    </xf>
    <xf numFmtId="4" fontId="9" fillId="0" borderId="8" xfId="0" applyNumberFormat="1" applyFont="1" applyBorder="1" applyAlignment="1">
      <alignment vertical="center"/>
    </xf>
    <xf numFmtId="4" fontId="10" fillId="2" borderId="22" xfId="0" applyNumberFormat="1" applyFont="1" applyFill="1" applyBorder="1" applyAlignment="1">
      <alignment horizontal="right" vertical="center"/>
    </xf>
    <xf numFmtId="0" fontId="10" fillId="2" borderId="20" xfId="0" applyFont="1" applyFill="1" applyBorder="1" applyAlignment="1">
      <alignment horizontal="center" vertical="center"/>
    </xf>
    <xf numFmtId="0" fontId="9" fillId="5" borderId="8" xfId="0" applyFont="1" applyFill="1" applyBorder="1" applyAlignment="1">
      <alignment horizontal="center" vertical="center"/>
    </xf>
    <xf numFmtId="0" fontId="8" fillId="5" borderId="8" xfId="0" applyFont="1" applyFill="1" applyBorder="1" applyAlignment="1">
      <alignment vertical="center"/>
    </xf>
    <xf numFmtId="3" fontId="9" fillId="0" borderId="8" xfId="0" applyNumberFormat="1" applyFont="1" applyBorder="1" applyAlignment="1">
      <alignment horizontal="center" vertical="center"/>
    </xf>
    <xf numFmtId="0" fontId="8" fillId="6" borderId="8" xfId="0" applyFont="1" applyFill="1" applyBorder="1" applyAlignment="1">
      <alignment vertical="center"/>
    </xf>
    <xf numFmtId="166" fontId="10" fillId="7" borderId="22" xfId="1" applyNumberFormat="1" applyFont="1" applyFill="1" applyBorder="1" applyAlignment="1">
      <alignment horizontal="right" vertical="center"/>
    </xf>
    <xf numFmtId="0" fontId="10" fillId="7" borderId="22" xfId="0" applyFont="1" applyFill="1" applyBorder="1" applyAlignment="1">
      <alignment horizontal="center" vertical="center"/>
    </xf>
    <xf numFmtId="0" fontId="14" fillId="0" borderId="0" xfId="10" applyFont="1" applyAlignment="1">
      <alignment vertical="center"/>
    </xf>
    <xf numFmtId="0" fontId="15" fillId="0" borderId="0" xfId="10" applyFont="1" applyAlignment="1">
      <alignment vertical="center"/>
    </xf>
    <xf numFmtId="0" fontId="15" fillId="0" borderId="0" xfId="10" applyFont="1"/>
    <xf numFmtId="0" fontId="16" fillId="0" borderId="0" xfId="10" applyFont="1"/>
    <xf numFmtId="0" fontId="17" fillId="0" borderId="0" xfId="10" applyFont="1"/>
    <xf numFmtId="0" fontId="19" fillId="0" borderId="0" xfId="10" applyFont="1"/>
    <xf numFmtId="0" fontId="19" fillId="0" borderId="0" xfId="10" applyFont="1" applyAlignment="1">
      <alignment horizontal="center"/>
    </xf>
    <xf numFmtId="0" fontId="8" fillId="0" borderId="1" xfId="0" applyFont="1" applyBorder="1" applyAlignment="1">
      <alignment vertical="center"/>
    </xf>
    <xf numFmtId="0" fontId="9" fillId="0" borderId="19" xfId="0" applyFont="1" applyBorder="1" applyAlignment="1">
      <alignment vertical="center"/>
    </xf>
    <xf numFmtId="0" fontId="4" fillId="0" borderId="19" xfId="0" applyFont="1" applyBorder="1" applyAlignment="1">
      <alignment vertical="center"/>
    </xf>
    <xf numFmtId="0" fontId="4" fillId="0" borderId="2" xfId="0" applyFont="1" applyBorder="1" applyAlignment="1">
      <alignment vertical="center"/>
    </xf>
    <xf numFmtId="0" fontId="10" fillId="10" borderId="26" xfId="10" applyFont="1" applyFill="1" applyBorder="1" applyAlignment="1">
      <alignment horizontal="center" vertical="center" wrapText="1"/>
    </xf>
    <xf numFmtId="0" fontId="21" fillId="0" borderId="28" xfId="10" applyFont="1" applyBorder="1" applyAlignment="1">
      <alignment horizontal="left" vertical="center"/>
    </xf>
    <xf numFmtId="0" fontId="21" fillId="0" borderId="29" xfId="10" applyFont="1" applyBorder="1"/>
    <xf numFmtId="0" fontId="21" fillId="0" borderId="30" xfId="10" applyFont="1" applyBorder="1"/>
    <xf numFmtId="0" fontId="21" fillId="0" borderId="32" xfId="10" applyFont="1" applyBorder="1" applyAlignment="1">
      <alignment horizontal="left" vertical="center"/>
    </xf>
    <xf numFmtId="0" fontId="21" fillId="0" borderId="33" xfId="10" applyFont="1" applyBorder="1"/>
    <xf numFmtId="0" fontId="21" fillId="0" borderId="34" xfId="10" applyFont="1" applyBorder="1"/>
    <xf numFmtId="0" fontId="21" fillId="0" borderId="36" xfId="10" applyFont="1" applyBorder="1" applyAlignment="1">
      <alignment horizontal="left" vertical="center"/>
    </xf>
    <xf numFmtId="0" fontId="21" fillId="0" borderId="37" xfId="10" applyFont="1" applyBorder="1"/>
    <xf numFmtId="0" fontId="21" fillId="0" borderId="38" xfId="10" applyFont="1" applyBorder="1"/>
    <xf numFmtId="0" fontId="21" fillId="0" borderId="0" xfId="10" applyFont="1"/>
    <xf numFmtId="0" fontId="22" fillId="0" borderId="0" xfId="10" applyFont="1"/>
    <xf numFmtId="0" fontId="23" fillId="0" borderId="0" xfId="10" applyFont="1"/>
    <xf numFmtId="0" fontId="17" fillId="0" borderId="0" xfId="10" applyFont="1" applyAlignment="1">
      <alignment vertical="center"/>
    </xf>
    <xf numFmtId="0" fontId="10" fillId="10" borderId="46" xfId="10" applyFont="1" applyFill="1" applyBorder="1" applyAlignment="1">
      <alignment horizontal="center" vertical="center" wrapText="1"/>
    </xf>
    <xf numFmtId="0" fontId="21" fillId="0" borderId="47" xfId="10" applyFont="1" applyBorder="1"/>
    <xf numFmtId="0" fontId="21" fillId="0" borderId="48" xfId="10" applyFont="1" applyBorder="1"/>
    <xf numFmtId="0" fontId="21" fillId="0" borderId="49" xfId="10" applyFont="1" applyBorder="1"/>
    <xf numFmtId="0" fontId="14" fillId="0" borderId="0" xfId="10" applyFont="1"/>
    <xf numFmtId="0" fontId="24" fillId="0" borderId="0" xfId="10" applyFont="1"/>
    <xf numFmtId="0" fontId="25" fillId="0" borderId="0" xfId="10" applyFont="1"/>
    <xf numFmtId="0" fontId="0" fillId="0" borderId="0" xfId="0" applyFont="1" applyAlignment="1">
      <alignment vertical="center"/>
    </xf>
    <xf numFmtId="0" fontId="0" fillId="11" borderId="0" xfId="0" applyFont="1" applyFill="1"/>
    <xf numFmtId="0" fontId="0" fillId="0" borderId="0" xfId="0" applyFont="1"/>
    <xf numFmtId="0" fontId="4" fillId="0" borderId="52" xfId="0" applyFont="1" applyBorder="1"/>
    <xf numFmtId="0" fontId="4" fillId="0" borderId="53" xfId="0" applyFont="1" applyBorder="1"/>
    <xf numFmtId="0" fontId="26" fillId="0" borderId="52" xfId="0" applyFont="1" applyBorder="1" applyAlignment="1">
      <alignment vertical="center"/>
    </xf>
    <xf numFmtId="0" fontId="26" fillId="0" borderId="53" xfId="0" applyFont="1" applyBorder="1" applyAlignment="1">
      <alignment vertical="center"/>
    </xf>
    <xf numFmtId="0" fontId="28" fillId="0" borderId="0" xfId="0" applyFont="1" applyAlignment="1">
      <alignment horizontal="center" vertical="center"/>
    </xf>
    <xf numFmtId="0" fontId="8" fillId="0" borderId="1" xfId="0" applyFont="1" applyBorder="1"/>
    <xf numFmtId="0" fontId="9" fillId="0" borderId="19" xfId="0" applyFont="1" applyBorder="1"/>
    <xf numFmtId="0" fontId="9" fillId="0" borderId="2" xfId="0" applyFont="1" applyBorder="1"/>
    <xf numFmtId="0" fontId="26" fillId="0" borderId="0" xfId="0" applyFont="1" applyAlignment="1">
      <alignment horizontal="center" vertical="center"/>
    </xf>
    <xf numFmtId="0" fontId="10" fillId="2" borderId="58" xfId="0" applyFont="1" applyFill="1" applyBorder="1" applyAlignment="1">
      <alignment horizontal="center" vertical="center"/>
    </xf>
    <xf numFmtId="0" fontId="10" fillId="2" borderId="59" xfId="0" applyFont="1" applyFill="1" applyBorder="1" applyAlignment="1">
      <alignment horizontal="center" vertical="center"/>
    </xf>
    <xf numFmtId="0" fontId="10" fillId="2" borderId="59" xfId="0" applyFont="1" applyFill="1" applyBorder="1" applyAlignment="1">
      <alignment horizontal="center" vertical="center" wrapText="1"/>
    </xf>
    <xf numFmtId="0" fontId="10" fillId="2" borderId="60" xfId="0" applyFont="1" applyFill="1" applyBorder="1" applyAlignment="1">
      <alignment horizontal="center" vertical="center" wrapText="1"/>
    </xf>
    <xf numFmtId="49" fontId="9" fillId="0" borderId="61" xfId="0" applyNumberFormat="1" applyFont="1" applyBorder="1" applyAlignment="1">
      <alignment horizontal="center"/>
    </xf>
    <xf numFmtId="49" fontId="9" fillId="0" borderId="62" xfId="0" applyNumberFormat="1" applyFont="1" applyBorder="1" applyAlignment="1">
      <alignment horizontal="center"/>
    </xf>
    <xf numFmtId="49" fontId="9" fillId="0" borderId="63" xfId="0" applyNumberFormat="1" applyFont="1" applyBorder="1" applyAlignment="1">
      <alignment horizontal="center"/>
    </xf>
    <xf numFmtId="0" fontId="9" fillId="0" borderId="61" xfId="0" applyFont="1" applyBorder="1"/>
    <xf numFmtId="0" fontId="9" fillId="0" borderId="62" xfId="0" applyFont="1" applyBorder="1"/>
    <xf numFmtId="0" fontId="9" fillId="0" borderId="63" xfId="0" applyFont="1" applyBorder="1"/>
    <xf numFmtId="0" fontId="9" fillId="0" borderId="64" xfId="0" applyFont="1" applyBorder="1"/>
    <xf numFmtId="0" fontId="9" fillId="0" borderId="65" xfId="0" applyFont="1" applyBorder="1"/>
    <xf numFmtId="0" fontId="9" fillId="0" borderId="66" xfId="0" applyFont="1" applyBorder="1"/>
    <xf numFmtId="0" fontId="20" fillId="2" borderId="22" xfId="0" applyFont="1" applyFill="1" applyBorder="1"/>
    <xf numFmtId="0" fontId="0" fillId="11" borderId="69" xfId="0" applyFont="1" applyFill="1" applyBorder="1"/>
    <xf numFmtId="0" fontId="9" fillId="11" borderId="6" xfId="0" applyFont="1" applyFill="1" applyBorder="1" applyAlignment="1">
      <alignment horizontal="left"/>
    </xf>
    <xf numFmtId="0" fontId="9" fillId="11" borderId="6" xfId="0" applyFont="1" applyFill="1" applyBorder="1" applyAlignment="1">
      <alignment horizontal="center"/>
    </xf>
    <xf numFmtId="0" fontId="9" fillId="11" borderId="18" xfId="0" applyFont="1" applyFill="1" applyBorder="1" applyAlignment="1">
      <alignment horizontal="center"/>
    </xf>
    <xf numFmtId="0" fontId="9" fillId="11" borderId="18" xfId="0" applyFont="1" applyFill="1" applyBorder="1"/>
    <xf numFmtId="0" fontId="9" fillId="0" borderId="52" xfId="0" applyFont="1" applyBorder="1"/>
    <xf numFmtId="0" fontId="9" fillId="0" borderId="16" xfId="0" applyFont="1" applyBorder="1"/>
    <xf numFmtId="0" fontId="9" fillId="0" borderId="53" xfId="0" applyFont="1" applyBorder="1" applyAlignment="1">
      <alignment vertical="center"/>
    </xf>
    <xf numFmtId="0" fontId="9" fillId="0" borderId="71" xfId="0" applyFont="1" applyBorder="1" applyAlignment="1">
      <alignment vertical="center"/>
    </xf>
    <xf numFmtId="0" fontId="9" fillId="0" borderId="74" xfId="0" applyFont="1" applyBorder="1" applyAlignment="1">
      <alignment vertical="center"/>
    </xf>
    <xf numFmtId="0" fontId="9" fillId="0" borderId="75" xfId="0" applyFont="1" applyBorder="1" applyAlignment="1">
      <alignment vertical="center"/>
    </xf>
    <xf numFmtId="0" fontId="9" fillId="0" borderId="66" xfId="0" applyFont="1" applyBorder="1" applyAlignment="1">
      <alignment vertical="center"/>
    </xf>
    <xf numFmtId="0" fontId="4" fillId="0" borderId="17" xfId="0" applyFont="1" applyBorder="1"/>
    <xf numFmtId="0" fontId="4" fillId="0" borderId="6" xfId="0" applyFont="1" applyBorder="1"/>
    <xf numFmtId="0" fontId="8" fillId="0" borderId="6" xfId="0" applyFont="1" applyBorder="1"/>
    <xf numFmtId="49" fontId="9" fillId="0" borderId="0" xfId="0" applyNumberFormat="1" applyFont="1" applyAlignment="1">
      <alignment horizontal="center"/>
    </xf>
    <xf numFmtId="0" fontId="9" fillId="0" borderId="55" xfId="0" applyFont="1" applyBorder="1"/>
    <xf numFmtId="0" fontId="0" fillId="0" borderId="52" xfId="0" applyFont="1" applyBorder="1"/>
    <xf numFmtId="0" fontId="0" fillId="0" borderId="52" xfId="0" applyFont="1" applyBorder="1" applyAlignment="1">
      <alignment vertical="center"/>
    </xf>
    <xf numFmtId="0" fontId="0" fillId="0" borderId="55" xfId="0" applyFont="1" applyBorder="1" applyAlignment="1">
      <alignment vertical="center"/>
    </xf>
    <xf numFmtId="0" fontId="0" fillId="0" borderId="55" xfId="0" applyFont="1" applyBorder="1"/>
    <xf numFmtId="0" fontId="0" fillId="0" borderId="57" xfId="0" applyFont="1" applyBorder="1"/>
    <xf numFmtId="0" fontId="0" fillId="11" borderId="52" xfId="0" applyFont="1" applyFill="1" applyBorder="1"/>
    <xf numFmtId="0" fontId="0" fillId="11" borderId="55" xfId="0" applyFont="1" applyFill="1" applyBorder="1"/>
    <xf numFmtId="0" fontId="29" fillId="0" borderId="52" xfId="0" applyFont="1" applyBorder="1"/>
    <xf numFmtId="0" fontId="29" fillId="0" borderId="55" xfId="0" applyFont="1" applyBorder="1"/>
    <xf numFmtId="0" fontId="29" fillId="0" borderId="0" xfId="0" applyFont="1"/>
    <xf numFmtId="0" fontId="0" fillId="0" borderId="0" xfId="0" applyAlignment="1">
      <alignment horizontal="center" vertical="center"/>
    </xf>
    <xf numFmtId="0" fontId="5" fillId="11" borderId="0" xfId="0" applyFont="1" applyFill="1" applyAlignment="1">
      <alignment vertical="center"/>
    </xf>
    <xf numFmtId="0" fontId="4" fillId="11" borderId="0" xfId="0" applyFont="1" applyFill="1" applyAlignment="1">
      <alignment vertical="center"/>
    </xf>
    <xf numFmtId="0" fontId="5" fillId="0" borderId="1" xfId="0" applyFont="1" applyBorder="1"/>
    <xf numFmtId="0" fontId="4" fillId="0" borderId="19" xfId="0" applyFont="1" applyBorder="1"/>
    <xf numFmtId="0" fontId="4" fillId="0" borderId="2" xfId="0" applyFont="1" applyBorder="1"/>
    <xf numFmtId="0" fontId="10" fillId="7" borderId="67" xfId="0" applyFont="1" applyFill="1" applyBorder="1" applyAlignment="1">
      <alignment horizontal="center" vertical="center" wrapText="1"/>
    </xf>
    <xf numFmtId="0" fontId="10" fillId="7" borderId="10" xfId="0" applyFont="1" applyFill="1" applyBorder="1" applyAlignment="1">
      <alignment horizontal="center" vertical="center" wrapText="1"/>
    </xf>
    <xf numFmtId="0" fontId="9" fillId="0" borderId="8" xfId="0" applyFont="1" applyBorder="1" applyAlignment="1">
      <alignment horizontal="center" vertical="center" wrapText="1"/>
    </xf>
    <xf numFmtId="0" fontId="9" fillId="0" borderId="8" xfId="0" applyFont="1" applyBorder="1" applyAlignment="1">
      <alignment horizontal="center" vertical="center"/>
    </xf>
    <xf numFmtId="166" fontId="9" fillId="0" borderId="8" xfId="4" applyNumberFormat="1" applyFont="1" applyBorder="1" applyAlignment="1">
      <alignment horizontal="center" vertical="center" wrapText="1"/>
    </xf>
    <xf numFmtId="0" fontId="9" fillId="11" borderId="0" xfId="0" applyFont="1" applyFill="1" applyAlignment="1">
      <alignment vertical="center"/>
    </xf>
    <xf numFmtId="0" fontId="11" fillId="0" borderId="0" xfId="0" applyFont="1"/>
    <xf numFmtId="0" fontId="30" fillId="11" borderId="0" xfId="0" applyFont="1" applyFill="1" applyAlignment="1">
      <alignment vertical="center"/>
    </xf>
    <xf numFmtId="0" fontId="10" fillId="7" borderId="22" xfId="0" applyFont="1" applyFill="1" applyBorder="1" applyAlignment="1">
      <alignment horizontal="center" vertical="center" wrapText="1"/>
    </xf>
    <xf numFmtId="166" fontId="9" fillId="0" borderId="8" xfId="0" applyNumberFormat="1" applyFont="1" applyBorder="1" applyAlignment="1">
      <alignment horizontal="center" vertical="center"/>
    </xf>
    <xf numFmtId="166" fontId="9" fillId="0" borderId="8" xfId="0" applyNumberFormat="1" applyFont="1" applyBorder="1" applyAlignment="1">
      <alignment vertical="center"/>
    </xf>
    <xf numFmtId="0" fontId="10" fillId="7" borderId="68" xfId="0" applyFont="1" applyFill="1" applyBorder="1" applyAlignment="1">
      <alignment horizontal="center" vertical="center"/>
    </xf>
    <xf numFmtId="0" fontId="8" fillId="11" borderId="0" xfId="0" applyFont="1" applyFill="1" applyAlignment="1">
      <alignment vertical="center"/>
    </xf>
    <xf numFmtId="0" fontId="17" fillId="0" borderId="0" xfId="10" applyFont="1" applyAlignment="1">
      <alignment horizontal="center" vertical="center"/>
    </xf>
    <xf numFmtId="0" fontId="5" fillId="0" borderId="1" xfId="0" applyFont="1" applyBorder="1" applyAlignment="1">
      <alignment vertical="center"/>
    </xf>
    <xf numFmtId="0" fontId="31" fillId="0" borderId="0" xfId="10" applyFont="1" applyAlignment="1">
      <alignment horizontal="center"/>
    </xf>
    <xf numFmtId="0" fontId="21" fillId="0" borderId="79" xfId="10" applyFont="1" applyBorder="1" applyAlignment="1">
      <alignment horizontal="left" vertical="center"/>
    </xf>
    <xf numFmtId="0" fontId="21" fillId="0" borderId="79" xfId="10" applyFont="1" applyBorder="1"/>
    <xf numFmtId="0" fontId="21" fillId="0" borderId="81" xfId="10" applyFont="1" applyBorder="1" applyAlignment="1">
      <alignment horizontal="left" vertical="center"/>
    </xf>
    <xf numFmtId="0" fontId="21" fillId="0" borderId="81" xfId="10" applyFont="1" applyBorder="1"/>
    <xf numFmtId="0" fontId="21" fillId="0" borderId="82" xfId="10" applyFont="1" applyBorder="1" applyAlignment="1">
      <alignment horizontal="left" vertical="center"/>
    </xf>
    <xf numFmtId="0" fontId="21" fillId="0" borderId="82" xfId="10" applyFont="1" applyBorder="1"/>
    <xf numFmtId="0" fontId="32" fillId="0" borderId="0" xfId="10" applyFont="1"/>
    <xf numFmtId="0" fontId="21" fillId="0" borderId="51" xfId="10" applyFont="1" applyBorder="1"/>
    <xf numFmtId="0" fontId="21" fillId="0" borderId="83" xfId="10" applyFont="1" applyBorder="1"/>
    <xf numFmtId="0" fontId="21" fillId="0" borderId="84" xfId="10" applyFont="1" applyBorder="1"/>
    <xf numFmtId="0" fontId="21" fillId="0" borderId="85" xfId="10" applyFont="1" applyBorder="1"/>
    <xf numFmtId="0" fontId="21" fillId="0" borderId="19" xfId="10" applyFont="1" applyBorder="1"/>
    <xf numFmtId="0" fontId="21" fillId="0" borderId="2" xfId="10" applyFont="1" applyBorder="1"/>
    <xf numFmtId="0" fontId="33" fillId="0" borderId="0" xfId="10" applyAlignment="1">
      <alignment vertical="center"/>
    </xf>
    <xf numFmtId="0" fontId="33" fillId="0" borderId="0" xfId="10"/>
    <xf numFmtId="0" fontId="18" fillId="0" borderId="0" xfId="10" applyFont="1"/>
    <xf numFmtId="0" fontId="10" fillId="10" borderId="17" xfId="10" applyFont="1" applyFill="1" applyBorder="1" applyAlignment="1">
      <alignment horizontal="center" vertical="center" wrapText="1"/>
    </xf>
    <xf numFmtId="0" fontId="10" fillId="10" borderId="17" xfId="10" applyFont="1" applyFill="1" applyBorder="1" applyAlignment="1">
      <alignment horizontal="center" vertical="center"/>
    </xf>
    <xf numFmtId="0" fontId="21" fillId="12" borderId="87" xfId="10" applyFont="1" applyFill="1" applyBorder="1" applyAlignment="1">
      <alignment horizontal="left" vertical="center"/>
    </xf>
    <xf numFmtId="168" fontId="14" fillId="12" borderId="87" xfId="10" applyNumberFormat="1" applyFont="1" applyFill="1" applyBorder="1"/>
    <xf numFmtId="167" fontId="21" fillId="12" borderId="87" xfId="10" applyNumberFormat="1" applyFont="1" applyFill="1" applyBorder="1"/>
    <xf numFmtId="0" fontId="21" fillId="0" borderId="89" xfId="10" applyFont="1" applyBorder="1" applyAlignment="1">
      <alignment horizontal="left" vertical="center"/>
    </xf>
    <xf numFmtId="169" fontId="21" fillId="0" borderId="89" xfId="10" applyNumberFormat="1" applyFont="1" applyBorder="1"/>
    <xf numFmtId="0" fontId="21" fillId="0" borderId="91" xfId="10" applyFont="1" applyBorder="1" applyAlignment="1">
      <alignment horizontal="left" vertical="center"/>
    </xf>
    <xf numFmtId="169" fontId="21" fillId="0" borderId="91" xfId="10" applyNumberFormat="1" applyFont="1" applyBorder="1"/>
    <xf numFmtId="0" fontId="21" fillId="12" borderId="87" xfId="10" applyFont="1" applyFill="1" applyBorder="1"/>
    <xf numFmtId="0" fontId="21" fillId="0" borderId="89" xfId="10" applyFont="1" applyBorder="1"/>
    <xf numFmtId="0" fontId="21" fillId="0" borderId="91" xfId="10" applyFont="1" applyBorder="1"/>
    <xf numFmtId="0" fontId="10" fillId="10" borderId="96" xfId="10" applyFont="1" applyFill="1" applyBorder="1" applyAlignment="1">
      <alignment horizontal="center" vertical="center"/>
    </xf>
    <xf numFmtId="0" fontId="14" fillId="0" borderId="0" xfId="0" applyFont="1" applyAlignment="1">
      <alignment horizontal="center"/>
    </xf>
    <xf numFmtId="0" fontId="14" fillId="0" borderId="0" xfId="0" applyFont="1"/>
    <xf numFmtId="0" fontId="9" fillId="0" borderId="8" xfId="0" applyFont="1" applyBorder="1"/>
    <xf numFmtId="0" fontId="9" fillId="0" borderId="0" xfId="0" applyFont="1"/>
    <xf numFmtId="0" fontId="10" fillId="2" borderId="19" xfId="0" applyFont="1" applyFill="1" applyBorder="1" applyAlignment="1">
      <alignment horizontal="center" vertical="center"/>
    </xf>
    <xf numFmtId="0" fontId="10" fillId="2" borderId="10" xfId="0" applyFont="1" applyFill="1" applyBorder="1" applyAlignment="1">
      <alignment horizontal="center" vertical="center"/>
    </xf>
    <xf numFmtId="0" fontId="9" fillId="0" borderId="98" xfId="0" applyFont="1" applyBorder="1"/>
    <xf numFmtId="0" fontId="9" fillId="0" borderId="8" xfId="0" applyFont="1" applyBorder="1" applyAlignment="1">
      <alignment horizontal="center"/>
    </xf>
    <xf numFmtId="0" fontId="8" fillId="0" borderId="0" xfId="0" applyFont="1"/>
    <xf numFmtId="0" fontId="10" fillId="2" borderId="68" xfId="0" applyFont="1" applyFill="1" applyBorder="1"/>
    <xf numFmtId="0" fontId="10" fillId="2" borderId="22" xfId="0" applyFont="1" applyFill="1" applyBorder="1"/>
    <xf numFmtId="0" fontId="10" fillId="2" borderId="2" xfId="0" applyFont="1" applyFill="1" applyBorder="1" applyAlignment="1">
      <alignment horizontal="center" vertical="center"/>
    </xf>
    <xf numFmtId="0" fontId="10" fillId="11" borderId="0" xfId="0" applyFont="1" applyFill="1" applyAlignment="1">
      <alignment vertical="center"/>
    </xf>
    <xf numFmtId="0" fontId="10" fillId="11" borderId="0" xfId="0" applyFont="1" applyFill="1" applyAlignment="1">
      <alignment horizontal="center" vertical="center"/>
    </xf>
    <xf numFmtId="0" fontId="9" fillId="11" borderId="0" xfId="0" applyFont="1" applyFill="1"/>
    <xf numFmtId="0" fontId="0" fillId="11" borderId="0" xfId="0" applyFill="1" applyAlignment="1">
      <alignment horizontal="center"/>
    </xf>
    <xf numFmtId="0" fontId="0" fillId="11" borderId="0" xfId="0" applyFill="1"/>
    <xf numFmtId="0" fontId="5" fillId="11" borderId="0" xfId="0" applyFont="1" applyFill="1"/>
    <xf numFmtId="0" fontId="4" fillId="11" borderId="0" xfId="0" applyFont="1" applyFill="1"/>
    <xf numFmtId="0" fontId="36" fillId="0" borderId="0" xfId="0" applyFont="1"/>
    <xf numFmtId="0" fontId="36" fillId="0" borderId="0" xfId="0" applyFont="1" applyAlignment="1">
      <alignment horizontal="center"/>
    </xf>
    <xf numFmtId="0" fontId="9" fillId="0" borderId="86" xfId="0" applyFont="1" applyBorder="1"/>
    <xf numFmtId="0" fontId="37" fillId="0" borderId="0" xfId="0" applyFont="1" applyAlignment="1">
      <alignment vertical="center" wrapText="1"/>
    </xf>
    <xf numFmtId="0" fontId="38" fillId="11" borderId="0" xfId="0" applyFont="1" applyFill="1" applyAlignment="1">
      <alignment horizontal="left"/>
    </xf>
    <xf numFmtId="0" fontId="39" fillId="0" borderId="0" xfId="0" applyFont="1" applyAlignment="1">
      <alignment horizontal="center"/>
    </xf>
    <xf numFmtId="0" fontId="9" fillId="0" borderId="107" xfId="0" applyFont="1" applyBorder="1"/>
    <xf numFmtId="0" fontId="9" fillId="0" borderId="0" xfId="0" applyFont="1" applyAlignment="1">
      <alignment horizontal="center" vertical="center"/>
    </xf>
    <xf numFmtId="0" fontId="7" fillId="0" borderId="0" xfId="0" applyFont="1" applyAlignment="1">
      <alignment horizontal="center"/>
    </xf>
    <xf numFmtId="0" fontId="4" fillId="0" borderId="0" xfId="0" applyFont="1" applyAlignment="1">
      <alignment horizontal="center"/>
    </xf>
    <xf numFmtId="0" fontId="10" fillId="4" borderId="110" xfId="0" applyFont="1" applyFill="1" applyBorder="1" applyAlignment="1">
      <alignment horizontal="center" vertical="center" wrapText="1"/>
    </xf>
    <xf numFmtId="0" fontId="10" fillId="4" borderId="103" xfId="0" applyFont="1" applyFill="1" applyBorder="1" applyAlignment="1">
      <alignment horizontal="center" vertical="center" wrapText="1"/>
    </xf>
    <xf numFmtId="0" fontId="30" fillId="11" borderId="0" xfId="0" applyFont="1" applyFill="1"/>
    <xf numFmtId="166" fontId="9" fillId="0" borderId="8" xfId="0" applyNumberFormat="1" applyFont="1" applyBorder="1"/>
    <xf numFmtId="0" fontId="10" fillId="2" borderId="68" xfId="0" applyFont="1" applyFill="1" applyBorder="1" applyAlignment="1">
      <alignment vertical="center"/>
    </xf>
    <xf numFmtId="0" fontId="10" fillId="2" borderId="19" xfId="0" applyFont="1" applyFill="1" applyBorder="1" applyAlignment="1">
      <alignment vertical="center"/>
    </xf>
    <xf numFmtId="0" fontId="10" fillId="2" borderId="22" xfId="0" applyFont="1" applyFill="1" applyBorder="1" applyAlignment="1">
      <alignment vertical="center"/>
    </xf>
    <xf numFmtId="0" fontId="0" fillId="0" borderId="0" xfId="0" applyAlignment="1">
      <alignment horizontal="center"/>
    </xf>
    <xf numFmtId="0" fontId="10" fillId="2" borderId="13" xfId="0" applyFont="1" applyFill="1" applyBorder="1" applyAlignment="1">
      <alignment horizontal="center" vertical="center" wrapText="1"/>
    </xf>
    <xf numFmtId="0" fontId="10" fillId="2" borderId="53" xfId="0" applyFont="1" applyFill="1" applyBorder="1" applyAlignment="1">
      <alignment horizontal="center" vertical="center" wrapText="1"/>
    </xf>
    <xf numFmtId="0" fontId="10" fillId="4" borderId="114" xfId="0" applyFont="1" applyFill="1" applyBorder="1" applyAlignment="1">
      <alignment horizontal="center" vertical="center" wrapText="1"/>
    </xf>
    <xf numFmtId="0" fontId="9" fillId="14" borderId="8" xfId="0" applyFont="1" applyFill="1" applyBorder="1"/>
    <xf numFmtId="0" fontId="9" fillId="0" borderId="5" xfId="0" applyFont="1" applyBorder="1"/>
    <xf numFmtId="0" fontId="9" fillId="0" borderId="1" xfId="0" applyFont="1" applyBorder="1"/>
    <xf numFmtId="0" fontId="10" fillId="2" borderId="68" xfId="0" applyFont="1" applyFill="1" applyBorder="1" applyAlignment="1">
      <alignment horizontal="center"/>
    </xf>
    <xf numFmtId="0" fontId="9" fillId="0" borderId="1" xfId="0" applyFont="1" applyBorder="1" applyAlignment="1">
      <alignment horizontal="center"/>
    </xf>
    <xf numFmtId="0" fontId="9" fillId="0" borderId="19" xfId="0" applyFont="1" applyBorder="1" applyAlignment="1">
      <alignment horizontal="center"/>
    </xf>
    <xf numFmtId="0" fontId="9" fillId="0" borderId="2" xfId="0" applyFont="1" applyBorder="1" applyAlignment="1">
      <alignment horizontal="center"/>
    </xf>
    <xf numFmtId="0" fontId="10" fillId="2" borderId="115" xfId="0" applyFont="1" applyFill="1" applyBorder="1" applyAlignment="1">
      <alignment horizontal="center" vertical="center"/>
    </xf>
    <xf numFmtId="0" fontId="10" fillId="4" borderId="116" xfId="0" applyFont="1" applyFill="1" applyBorder="1" applyAlignment="1">
      <alignment horizontal="center" vertical="center"/>
    </xf>
    <xf numFmtId="0" fontId="9" fillId="0" borderId="90" xfId="0" applyFont="1" applyBorder="1" applyAlignment="1">
      <alignment horizontal="center" vertical="center"/>
    </xf>
    <xf numFmtId="0" fontId="40" fillId="0" borderId="0" xfId="0" applyFont="1" applyAlignment="1">
      <alignment vertical="center"/>
    </xf>
    <xf numFmtId="0" fontId="37" fillId="11" borderId="0" xfId="0" applyFont="1" applyFill="1" applyAlignment="1">
      <alignment horizontal="left" vertical="center" wrapText="1"/>
    </xf>
    <xf numFmtId="0" fontId="10" fillId="4" borderId="117" xfId="0" applyFont="1" applyFill="1" applyBorder="1" applyAlignment="1">
      <alignment horizontal="center" vertical="center"/>
    </xf>
    <xf numFmtId="0" fontId="0" fillId="0" borderId="1" xfId="0" applyBorder="1"/>
    <xf numFmtId="0" fontId="8" fillId="15" borderId="90" xfId="0" applyFont="1" applyFill="1" applyBorder="1"/>
    <xf numFmtId="0" fontId="8" fillId="15" borderId="5" xfId="0" applyFont="1" applyFill="1" applyBorder="1" applyAlignment="1">
      <alignment horizontal="center"/>
    </xf>
    <xf numFmtId="0" fontId="9" fillId="0" borderId="1" xfId="0" applyFont="1" applyBorder="1" applyAlignment="1">
      <alignment horizontal="left" indent="2"/>
    </xf>
    <xf numFmtId="49" fontId="9" fillId="0" borderId="8" xfId="0" applyNumberFormat="1" applyFont="1" applyBorder="1" applyAlignment="1">
      <alignment horizontal="center"/>
    </xf>
    <xf numFmtId="0" fontId="13" fillId="3" borderId="1" xfId="0" applyFont="1" applyFill="1" applyBorder="1"/>
    <xf numFmtId="0" fontId="0" fillId="0" borderId="19" xfId="0" applyBorder="1"/>
    <xf numFmtId="0" fontId="0" fillId="0" borderId="19" xfId="0" applyBorder="1" applyAlignment="1">
      <alignment horizontal="left"/>
    </xf>
    <xf numFmtId="0" fontId="11" fillId="0" borderId="0" xfId="0" applyFont="1" applyAlignment="1">
      <alignment horizontal="left" vertical="center" wrapText="1"/>
    </xf>
    <xf numFmtId="0" fontId="10" fillId="2" borderId="45" xfId="0" applyFont="1" applyFill="1" applyBorder="1" applyAlignment="1">
      <alignment horizontal="center" vertical="center"/>
    </xf>
    <xf numFmtId="0" fontId="10" fillId="2" borderId="22" xfId="0" applyFont="1" applyFill="1" applyBorder="1" applyAlignment="1">
      <alignment horizontal="center"/>
    </xf>
    <xf numFmtId="0" fontId="9" fillId="0" borderId="90" xfId="0" applyFont="1" applyBorder="1" applyAlignment="1">
      <alignment horizontal="center"/>
    </xf>
    <xf numFmtId="0" fontId="9" fillId="0" borderId="90" xfId="0" applyFont="1" applyBorder="1"/>
    <xf numFmtId="0" fontId="9" fillId="11" borderId="8" xfId="0" applyFont="1" applyFill="1" applyBorder="1" applyAlignment="1">
      <alignment horizontal="center"/>
    </xf>
    <xf numFmtId="0" fontId="9" fillId="11" borderId="101" xfId="0" applyFont="1" applyFill="1" applyBorder="1" applyAlignment="1">
      <alignment horizontal="left"/>
    </xf>
    <xf numFmtId="0" fontId="9" fillId="11" borderId="102" xfId="0" applyFont="1" applyFill="1" applyBorder="1" applyAlignment="1">
      <alignment horizontal="left"/>
    </xf>
    <xf numFmtId="0" fontId="9" fillId="11" borderId="108" xfId="0" applyFont="1" applyFill="1" applyBorder="1" applyAlignment="1">
      <alignment horizontal="left"/>
    </xf>
    <xf numFmtId="0" fontId="9" fillId="11" borderId="8" xfId="0" applyFont="1" applyFill="1" applyBorder="1"/>
    <xf numFmtId="0" fontId="20" fillId="0" borderId="0" xfId="0" applyFont="1"/>
    <xf numFmtId="0" fontId="10" fillId="4" borderId="53" xfId="0" applyFont="1" applyFill="1" applyBorder="1" applyAlignment="1">
      <alignment horizontal="center" vertical="center" wrapText="1"/>
    </xf>
    <xf numFmtId="0" fontId="10" fillId="4" borderId="115" xfId="0" applyFont="1" applyFill="1" applyBorder="1" applyAlignment="1">
      <alignment horizontal="center" vertical="center"/>
    </xf>
    <xf numFmtId="0" fontId="9" fillId="11" borderId="1" xfId="0" applyFont="1" applyFill="1" applyBorder="1"/>
    <xf numFmtId="0" fontId="10" fillId="2" borderId="22" xfId="0" applyFont="1" applyFill="1" applyBorder="1" applyAlignment="1">
      <alignment horizontal="center" vertical="center"/>
    </xf>
    <xf numFmtId="0" fontId="42" fillId="16" borderId="8" xfId="0" applyFont="1" applyFill="1" applyBorder="1" applyAlignment="1">
      <alignment horizontal="center" vertical="center" wrapText="1"/>
    </xf>
    <xf numFmtId="0" fontId="43" fillId="0" borderId="86" xfId="0" applyFont="1" applyFill="1" applyBorder="1" applyAlignment="1">
      <alignment horizontal="center" vertical="center" wrapText="1"/>
    </xf>
    <xf numFmtId="0" fontId="43" fillId="5" borderId="86" xfId="0" applyFont="1" applyFill="1" applyBorder="1" applyAlignment="1">
      <alignment horizontal="center" vertical="center" wrapText="1"/>
    </xf>
    <xf numFmtId="0" fontId="43" fillId="0" borderId="8" xfId="0" applyFont="1" applyBorder="1" applyAlignment="1">
      <alignment horizontal="left" vertical="center" wrapText="1"/>
    </xf>
    <xf numFmtId="0" fontId="43" fillId="0" borderId="8" xfId="0" applyFont="1" applyBorder="1" applyAlignment="1">
      <alignment horizontal="center" vertical="center"/>
    </xf>
    <xf numFmtId="0" fontId="43" fillId="0" borderId="88" xfId="0" applyFont="1" applyFill="1" applyBorder="1" applyAlignment="1">
      <alignment horizontal="center" vertical="center" wrapText="1"/>
    </xf>
    <xf numFmtId="0" fontId="43" fillId="5" borderId="88" xfId="0" applyFont="1" applyFill="1" applyBorder="1" applyAlignment="1">
      <alignment horizontal="center" vertical="center" wrapText="1"/>
    </xf>
    <xf numFmtId="0" fontId="43" fillId="0" borderId="90" xfId="0" applyFont="1" applyFill="1" applyBorder="1" applyAlignment="1">
      <alignment horizontal="center" vertical="center" wrapText="1"/>
    </xf>
    <xf numFmtId="0" fontId="43" fillId="5" borderId="90" xfId="0" applyFont="1" applyFill="1" applyBorder="1" applyAlignment="1">
      <alignment horizontal="center" vertical="center" wrapText="1"/>
    </xf>
    <xf numFmtId="0" fontId="45" fillId="5" borderId="86" xfId="0" applyFont="1" applyFill="1" applyBorder="1" applyAlignment="1">
      <alignment horizontal="center" vertical="center" wrapText="1"/>
    </xf>
    <xf numFmtId="0" fontId="45" fillId="5" borderId="88" xfId="0" applyFont="1" applyFill="1" applyBorder="1" applyAlignment="1">
      <alignment horizontal="center" vertical="center" wrapText="1"/>
    </xf>
    <xf numFmtId="0" fontId="45" fillId="5" borderId="90" xfId="0" applyFont="1" applyFill="1" applyBorder="1" applyAlignment="1">
      <alignment horizontal="center" vertical="center" wrapText="1"/>
    </xf>
    <xf numFmtId="0" fontId="43" fillId="0" borderId="8" xfId="0" applyFont="1" applyFill="1" applyBorder="1" applyAlignment="1">
      <alignment horizontal="left" vertical="center" wrapText="1"/>
    </xf>
    <xf numFmtId="0" fontId="43" fillId="0" borderId="8" xfId="0" applyFont="1" applyFill="1" applyBorder="1" applyAlignment="1">
      <alignment horizontal="center" vertical="center"/>
    </xf>
    <xf numFmtId="0" fontId="43" fillId="0" borderId="8" xfId="0" applyFont="1" applyFill="1" applyBorder="1" applyAlignment="1">
      <alignment horizontal="center" vertical="center" wrapText="1"/>
    </xf>
    <xf numFmtId="0" fontId="46" fillId="0" borderId="8" xfId="0" applyFont="1" applyBorder="1" applyAlignment="1">
      <alignment horizontal="left" vertical="top" wrapText="1"/>
    </xf>
    <xf numFmtId="43" fontId="43" fillId="0" borderId="8" xfId="1" applyFont="1" applyBorder="1" applyAlignment="1">
      <alignment horizontal="center" vertical="center"/>
    </xf>
    <xf numFmtId="0" fontId="46" fillId="0" borderId="8" xfId="0" applyFont="1" applyBorder="1" applyAlignment="1">
      <alignment horizontal="center" vertical="center" wrapText="1"/>
    </xf>
    <xf numFmtId="43" fontId="47" fillId="0" borderId="8" xfId="0" applyNumberFormat="1" applyFont="1" applyBorder="1" applyAlignment="1">
      <alignment horizontal="center" vertical="center" wrapText="1"/>
    </xf>
    <xf numFmtId="43" fontId="43" fillId="0" borderId="8" xfId="1" applyFont="1" applyFill="1" applyBorder="1" applyAlignment="1">
      <alignment horizontal="center" vertical="center"/>
    </xf>
    <xf numFmtId="0" fontId="47" fillId="0" borderId="8" xfId="0" applyFont="1" applyBorder="1" applyAlignment="1">
      <alignment horizontal="center" vertical="center" wrapText="1"/>
    </xf>
    <xf numFmtId="0" fontId="0" fillId="0" borderId="8" xfId="0" applyBorder="1"/>
    <xf numFmtId="0" fontId="0" fillId="0" borderId="8" xfId="0" applyFont="1" applyBorder="1"/>
    <xf numFmtId="0" fontId="43" fillId="0" borderId="8" xfId="0" applyFont="1" applyFill="1" applyBorder="1" applyAlignment="1">
      <alignment horizontal="center" vertical="center" wrapText="1"/>
    </xf>
    <xf numFmtId="0" fontId="43" fillId="0" borderId="2" xfId="0" applyFont="1" applyFill="1" applyBorder="1" applyAlignment="1">
      <alignment horizontal="center" vertical="center" wrapText="1"/>
    </xf>
    <xf numFmtId="0" fontId="43" fillId="0" borderId="2" xfId="0" applyFont="1" applyFill="1" applyBorder="1" applyAlignment="1">
      <alignment horizontal="left" vertical="center" wrapText="1"/>
    </xf>
    <xf numFmtId="0" fontId="43" fillId="0" borderId="122" xfId="0" applyFont="1" applyFill="1" applyBorder="1" applyAlignment="1">
      <alignment horizontal="center" vertical="center" wrapText="1"/>
    </xf>
    <xf numFmtId="0" fontId="43" fillId="0" borderId="122" xfId="0" applyFont="1" applyFill="1" applyBorder="1" applyAlignment="1">
      <alignment horizontal="left" vertical="center" wrapText="1"/>
    </xf>
    <xf numFmtId="0" fontId="43" fillId="0" borderId="86" xfId="0" applyFont="1" applyFill="1" applyBorder="1" applyAlignment="1">
      <alignment horizontal="center" vertical="center"/>
    </xf>
    <xf numFmtId="0" fontId="43" fillId="0" borderId="90" xfId="0" applyFont="1" applyFill="1" applyBorder="1" applyAlignment="1">
      <alignment horizontal="left" vertical="center" wrapText="1"/>
    </xf>
    <xf numFmtId="0" fontId="43" fillId="0" borderId="90" xfId="0" applyFont="1" applyFill="1" applyBorder="1" applyAlignment="1">
      <alignment horizontal="center" vertical="center"/>
    </xf>
    <xf numFmtId="43" fontId="43" fillId="0" borderId="8" xfId="0" applyNumberFormat="1" applyFont="1" applyFill="1" applyBorder="1" applyAlignment="1">
      <alignment vertical="center"/>
    </xf>
    <xf numFmtId="43" fontId="43" fillId="0" borderId="86" xfId="1" applyFont="1" applyFill="1" applyBorder="1" applyAlignment="1">
      <alignment horizontal="center" vertical="center"/>
    </xf>
    <xf numFmtId="43" fontId="43" fillId="0" borderId="90" xfId="1" applyFont="1" applyFill="1" applyBorder="1" applyAlignment="1">
      <alignment horizontal="center" vertical="center"/>
    </xf>
    <xf numFmtId="167" fontId="43" fillId="0" borderId="8" xfId="1" applyNumberFormat="1" applyFont="1" applyFill="1" applyBorder="1" applyAlignment="1">
      <alignment horizontal="center" vertical="center"/>
    </xf>
    <xf numFmtId="0" fontId="43" fillId="0" borderId="0" xfId="0" applyFont="1" applyAlignment="1">
      <alignment vertical="center"/>
    </xf>
    <xf numFmtId="0" fontId="43" fillId="0" borderId="0" xfId="0" applyFont="1" applyAlignment="1">
      <alignment horizontal="left" vertical="center" wrapText="1"/>
    </xf>
    <xf numFmtId="43" fontId="43" fillId="0" borderId="0" xfId="1" applyFont="1" applyAlignment="1">
      <alignment vertical="center"/>
    </xf>
    <xf numFmtId="0" fontId="49" fillId="0" borderId="0" xfId="0" applyFont="1" applyFill="1" applyAlignment="1">
      <alignment horizontal="center"/>
    </xf>
    <xf numFmtId="0" fontId="0" fillId="0" borderId="0" xfId="0" applyFont="1" applyFill="1" applyAlignment="1"/>
    <xf numFmtId="0" fontId="13" fillId="16" borderId="8" xfId="0" applyFont="1" applyFill="1" applyBorder="1" applyAlignment="1">
      <alignment horizontal="center" vertical="center" wrapText="1"/>
    </xf>
    <xf numFmtId="0" fontId="0" fillId="0" borderId="8" xfId="0" applyFont="1" applyFill="1" applyBorder="1" applyAlignment="1">
      <alignment horizontal="left" vertical="center" wrapText="1"/>
    </xf>
    <xf numFmtId="0" fontId="50" fillId="11" borderId="90" xfId="0" applyFont="1" applyFill="1" applyBorder="1" applyAlignment="1">
      <alignment horizontal="justify" vertical="center" wrapText="1"/>
    </xf>
    <xf numFmtId="0" fontId="0" fillId="0" borderId="8" xfId="0" applyFont="1" applyFill="1" applyBorder="1" applyAlignment="1">
      <alignment horizontal="justify" vertical="center" wrapText="1"/>
    </xf>
    <xf numFmtId="0" fontId="50" fillId="11" borderId="90" xfId="0" applyFont="1" applyFill="1" applyBorder="1" applyAlignment="1">
      <alignment horizontal="center" vertical="center"/>
    </xf>
    <xf numFmtId="0" fontId="50" fillId="11" borderId="8" xfId="0" applyFont="1" applyFill="1" applyBorder="1" applyAlignment="1">
      <alignment horizontal="center" vertical="center"/>
    </xf>
    <xf numFmtId="0" fontId="29" fillId="11" borderId="90" xfId="0" applyFont="1" applyFill="1" applyBorder="1" applyAlignment="1">
      <alignment horizontal="justify" vertical="center" wrapText="1"/>
    </xf>
    <xf numFmtId="0" fontId="29" fillId="0" borderId="0" xfId="0" applyFont="1" applyAlignment="1">
      <alignment vertical="center"/>
    </xf>
    <xf numFmtId="0" fontId="10" fillId="4" borderId="114" xfId="0" applyFont="1" applyFill="1" applyBorder="1" applyAlignment="1">
      <alignment horizontal="center" vertical="center"/>
    </xf>
    <xf numFmtId="0" fontId="10" fillId="4" borderId="52" xfId="0" applyFont="1" applyFill="1" applyBorder="1" applyAlignment="1">
      <alignment horizontal="center" vertical="center" wrapText="1"/>
    </xf>
    <xf numFmtId="0" fontId="50" fillId="11" borderId="90" xfId="0" applyFont="1" applyFill="1" applyBorder="1" applyAlignment="1">
      <alignment horizontal="center" vertical="center" wrapText="1"/>
    </xf>
    <xf numFmtId="0" fontId="29" fillId="0" borderId="90" xfId="0" applyFont="1" applyBorder="1" applyAlignment="1">
      <alignment vertical="center" wrapText="1"/>
    </xf>
    <xf numFmtId="0" fontId="50" fillId="11" borderId="90" xfId="0" applyFont="1" applyFill="1" applyBorder="1" applyAlignment="1">
      <alignment horizontal="left" vertical="center" wrapText="1"/>
    </xf>
    <xf numFmtId="0" fontId="29" fillId="11" borderId="90" xfId="0" applyFont="1" applyFill="1" applyBorder="1" applyAlignment="1">
      <alignment horizontal="center" vertical="center" wrapText="1"/>
    </xf>
    <xf numFmtId="0" fontId="50" fillId="11" borderId="8" xfId="0" applyFont="1" applyFill="1" applyBorder="1" applyAlignment="1">
      <alignment horizontal="center" vertical="center" wrapText="1"/>
    </xf>
    <xf numFmtId="0" fontId="29" fillId="0" borderId="8" xfId="0" applyFont="1" applyBorder="1" applyAlignment="1">
      <alignment vertical="center" wrapText="1"/>
    </xf>
    <xf numFmtId="0" fontId="21" fillId="11" borderId="90" xfId="0" applyFont="1" applyFill="1" applyBorder="1" applyAlignment="1">
      <alignment horizontal="center" vertical="center"/>
    </xf>
    <xf numFmtId="0" fontId="21" fillId="11" borderId="8" xfId="0" applyFont="1" applyFill="1" applyBorder="1" applyAlignment="1">
      <alignment horizontal="center" vertical="center"/>
    </xf>
    <xf numFmtId="0" fontId="52" fillId="0" borderId="0" xfId="0" applyFont="1"/>
    <xf numFmtId="0" fontId="9" fillId="0" borderId="0" xfId="0" applyFont="1" applyAlignment="1">
      <alignment horizontal="left"/>
    </xf>
    <xf numFmtId="0" fontId="9" fillId="0" borderId="0" xfId="0" applyFont="1" applyAlignment="1">
      <alignment horizontal="center"/>
    </xf>
    <xf numFmtId="10" fontId="29" fillId="0" borderId="8" xfId="0" applyNumberFormat="1" applyFont="1" applyFill="1" applyBorder="1" applyAlignment="1">
      <alignment horizontal="center" vertical="center" wrapText="1"/>
    </xf>
    <xf numFmtId="10" fontId="0" fillId="11" borderId="8" xfId="0" applyNumberFormat="1" applyFont="1" applyFill="1" applyBorder="1" applyAlignment="1">
      <alignment horizontal="center" vertical="center"/>
    </xf>
    <xf numFmtId="10" fontId="0" fillId="0" borderId="8" xfId="0" applyNumberFormat="1" applyFont="1" applyFill="1" applyBorder="1" applyAlignment="1">
      <alignment horizontal="center" vertical="center"/>
    </xf>
    <xf numFmtId="10" fontId="21" fillId="0" borderId="90" xfId="0" applyNumberFormat="1" applyFont="1" applyBorder="1" applyAlignment="1">
      <alignment horizontal="center" vertical="center" wrapText="1"/>
    </xf>
    <xf numFmtId="10" fontId="21" fillId="0" borderId="8" xfId="0" applyNumberFormat="1" applyFont="1" applyBorder="1" applyAlignment="1">
      <alignment horizontal="center" vertical="center"/>
    </xf>
    <xf numFmtId="2" fontId="29" fillId="0" borderId="8" xfId="0" applyNumberFormat="1" applyFont="1" applyFill="1" applyBorder="1" applyAlignment="1">
      <alignment horizontal="center" vertical="center" wrapText="1"/>
    </xf>
    <xf numFmtId="0" fontId="0" fillId="11" borderId="8" xfId="0" applyFont="1" applyFill="1" applyBorder="1" applyAlignment="1">
      <alignment horizontal="center" vertical="center"/>
    </xf>
    <xf numFmtId="0" fontId="10" fillId="4" borderId="115" xfId="0" applyFont="1" applyFill="1" applyBorder="1" applyAlignment="1">
      <alignment horizontal="center" vertical="center" wrapText="1"/>
    </xf>
    <xf numFmtId="0" fontId="4" fillId="0" borderId="0" xfId="0" applyFont="1" applyAlignment="1"/>
    <xf numFmtId="0" fontId="7" fillId="0" borderId="0" xfId="0" applyFont="1" applyAlignment="1"/>
    <xf numFmtId="0" fontId="4" fillId="0" borderId="19" xfId="0" applyFont="1" applyBorder="1" applyAlignment="1"/>
    <xf numFmtId="0" fontId="9" fillId="0" borderId="90" xfId="0" applyFont="1" applyBorder="1" applyAlignment="1"/>
    <xf numFmtId="0" fontId="9" fillId="0" borderId="8" xfId="0" applyFont="1" applyBorder="1" applyAlignment="1"/>
    <xf numFmtId="0" fontId="9" fillId="0" borderId="0" xfId="0" applyFont="1" applyAlignment="1"/>
    <xf numFmtId="0" fontId="11" fillId="0" borderId="0" xfId="0" applyFont="1" applyAlignment="1">
      <alignment vertical="center" wrapText="1"/>
    </xf>
    <xf numFmtId="0" fontId="10" fillId="4" borderId="8" xfId="0" applyFont="1" applyFill="1" applyBorder="1" applyAlignment="1">
      <alignment horizontal="center" vertical="center"/>
    </xf>
    <xf numFmtId="0" fontId="10" fillId="4" borderId="8" xfId="0" applyFont="1" applyFill="1" applyBorder="1" applyAlignment="1">
      <alignment horizontal="center" vertical="center" wrapText="1"/>
    </xf>
    <xf numFmtId="9" fontId="50" fillId="11" borderId="90" xfId="0" applyNumberFormat="1" applyFont="1" applyFill="1" applyBorder="1" applyAlignment="1">
      <alignment horizontal="center" vertical="center" wrapText="1"/>
    </xf>
    <xf numFmtId="9" fontId="29" fillId="0" borderId="90" xfId="0" applyNumberFormat="1" applyFont="1" applyBorder="1" applyAlignment="1">
      <alignment horizontal="center" vertical="center" wrapText="1"/>
    </xf>
    <xf numFmtId="9" fontId="29" fillId="0" borderId="90" xfId="0" applyNumberFormat="1" applyFont="1" applyFill="1" applyBorder="1" applyAlignment="1">
      <alignment horizontal="center" vertical="center" wrapText="1"/>
    </xf>
    <xf numFmtId="10" fontId="0" fillId="11" borderId="90" xfId="0" applyNumberFormat="1" applyFont="1" applyFill="1" applyBorder="1" applyAlignment="1">
      <alignment horizontal="center" vertical="center"/>
    </xf>
    <xf numFmtId="9" fontId="29" fillId="0" borderId="8" xfId="2" applyFont="1" applyBorder="1" applyAlignment="1">
      <alignment horizontal="center" vertical="center" wrapText="1"/>
    </xf>
    <xf numFmtId="9" fontId="29" fillId="0" borderId="8" xfId="2" applyNumberFormat="1" applyFont="1" applyBorder="1" applyAlignment="1">
      <alignment horizontal="center" vertical="center"/>
    </xf>
    <xf numFmtId="9" fontId="29" fillId="0" borderId="8" xfId="2" applyFont="1" applyFill="1" applyBorder="1" applyAlignment="1">
      <alignment horizontal="center" vertical="center"/>
    </xf>
    <xf numFmtId="0" fontId="29" fillId="0" borderId="8" xfId="0" applyFont="1" applyBorder="1" applyAlignment="1">
      <alignment horizontal="center" vertical="center" wrapText="1"/>
    </xf>
    <xf numFmtId="0" fontId="29" fillId="0" borderId="8" xfId="0" applyFont="1" applyBorder="1" applyAlignment="1">
      <alignment horizontal="center" vertical="center"/>
    </xf>
    <xf numFmtId="0" fontId="29" fillId="0" borderId="8" xfId="0" applyNumberFormat="1" applyFont="1" applyBorder="1" applyAlignment="1">
      <alignment horizontal="center" vertical="center"/>
    </xf>
    <xf numFmtId="0" fontId="29" fillId="0" borderId="8" xfId="0" applyFont="1" applyFill="1" applyBorder="1" applyAlignment="1">
      <alignment horizontal="center" vertical="center"/>
    </xf>
    <xf numFmtId="0" fontId="0" fillId="11" borderId="8" xfId="0" applyNumberFormat="1" applyFont="1" applyFill="1" applyBorder="1" applyAlignment="1">
      <alignment horizontal="center" vertical="center"/>
    </xf>
    <xf numFmtId="9" fontId="21" fillId="0" borderId="5" xfId="0" applyNumberFormat="1" applyFont="1" applyBorder="1" applyAlignment="1">
      <alignment horizontal="center" vertical="center" wrapText="1"/>
    </xf>
    <xf numFmtId="10" fontId="21" fillId="0" borderId="5" xfId="0" applyNumberFormat="1" applyFont="1" applyBorder="1" applyAlignment="1">
      <alignment horizontal="center" vertical="center" wrapText="1"/>
    </xf>
    <xf numFmtId="10" fontId="9" fillId="0" borderId="0" xfId="0" applyNumberFormat="1" applyFont="1" applyAlignment="1">
      <alignment vertical="center"/>
    </xf>
    <xf numFmtId="10" fontId="21" fillId="0" borderId="5" xfId="0" applyNumberFormat="1" applyFont="1" applyBorder="1" applyAlignment="1">
      <alignment horizontal="center" vertical="center"/>
    </xf>
    <xf numFmtId="9" fontId="21" fillId="0" borderId="0" xfId="0" applyNumberFormat="1" applyFont="1" applyBorder="1" applyAlignment="1">
      <alignment horizontal="center" vertical="center"/>
    </xf>
    <xf numFmtId="10" fontId="9" fillId="0" borderId="0" xfId="0" applyNumberFormat="1" applyFont="1"/>
    <xf numFmtId="10" fontId="21" fillId="0" borderId="5" xfId="2" applyNumberFormat="1" applyFont="1" applyBorder="1" applyAlignment="1">
      <alignment horizontal="center" vertical="center"/>
    </xf>
    <xf numFmtId="0" fontId="21" fillId="0" borderId="1" xfId="0" applyNumberFormat="1" applyFont="1" applyBorder="1" applyAlignment="1">
      <alignment horizontal="center" vertical="center"/>
    </xf>
    <xf numFmtId="0" fontId="21" fillId="0" borderId="5" xfId="0" applyNumberFormat="1" applyFont="1" applyBorder="1" applyAlignment="1">
      <alignment horizontal="center" vertical="center" wrapText="1"/>
    </xf>
    <xf numFmtId="0" fontId="21" fillId="0" borderId="8" xfId="0" applyNumberFormat="1" applyFont="1" applyBorder="1" applyAlignment="1">
      <alignment horizontal="center" vertical="center" wrapText="1"/>
    </xf>
    <xf numFmtId="0" fontId="9" fillId="0" borderId="0" xfId="0" applyNumberFormat="1" applyFont="1" applyAlignment="1">
      <alignment vertical="center"/>
    </xf>
    <xf numFmtId="0" fontId="63" fillId="0" borderId="19" xfId="0" applyFont="1" applyBorder="1"/>
    <xf numFmtId="0" fontId="63" fillId="0" borderId="19" xfId="0" applyFont="1" applyBorder="1" applyAlignment="1"/>
    <xf numFmtId="0" fontId="64" fillId="0" borderId="1" xfId="0" applyFont="1" applyBorder="1"/>
    <xf numFmtId="0" fontId="3" fillId="0" borderId="19" xfId="0" applyFont="1" applyBorder="1"/>
    <xf numFmtId="0" fontId="65" fillId="11" borderId="90" xfId="0" applyFont="1" applyFill="1" applyBorder="1" applyAlignment="1">
      <alignment horizontal="center" vertical="center"/>
    </xf>
    <xf numFmtId="0" fontId="65" fillId="11" borderId="90" xfId="0" applyFont="1" applyFill="1" applyBorder="1" applyAlignment="1">
      <alignment horizontal="justify" vertical="center" wrapText="1"/>
    </xf>
    <xf numFmtId="0" fontId="66" fillId="0" borderId="0" xfId="0" applyFont="1" applyAlignment="1">
      <alignment horizontal="justify" vertical="center" wrapText="1"/>
    </xf>
    <xf numFmtId="0" fontId="67" fillId="0" borderId="0" xfId="0" applyFont="1"/>
    <xf numFmtId="0" fontId="65" fillId="11" borderId="8" xfId="0" applyFont="1" applyFill="1" applyBorder="1" applyAlignment="1">
      <alignment horizontal="center" vertical="center"/>
    </xf>
    <xf numFmtId="0" fontId="67" fillId="11" borderId="8" xfId="0" applyFont="1" applyFill="1" applyBorder="1" applyAlignment="1">
      <alignment horizontal="justify" vertical="center" wrapText="1"/>
    </xf>
    <xf numFmtId="0" fontId="67" fillId="11" borderId="90" xfId="0" applyFont="1" applyFill="1" applyBorder="1" applyAlignment="1">
      <alignment horizontal="justify" vertical="center" wrapText="1"/>
    </xf>
    <xf numFmtId="0" fontId="65" fillId="11" borderId="8" xfId="0" applyFont="1" applyFill="1" applyBorder="1" applyAlignment="1">
      <alignment horizontal="justify" vertical="center" wrapText="1"/>
    </xf>
    <xf numFmtId="0" fontId="62" fillId="16" borderId="8" xfId="0" applyFont="1" applyFill="1" applyBorder="1" applyAlignment="1">
      <alignment horizontal="center" vertical="center" wrapText="1"/>
    </xf>
    <xf numFmtId="0" fontId="67" fillId="0" borderId="0" xfId="0" applyFont="1" applyBorder="1" applyAlignment="1">
      <alignment vertical="center" wrapText="1"/>
    </xf>
    <xf numFmtId="0" fontId="67" fillId="0" borderId="8" xfId="0" applyFont="1" applyBorder="1" applyAlignment="1">
      <alignment horizontal="center" vertical="center" wrapText="1"/>
    </xf>
    <xf numFmtId="0" fontId="38" fillId="0" borderId="8" xfId="0" applyFont="1" applyBorder="1" applyAlignment="1">
      <alignment horizontal="center" vertical="center" wrapText="1"/>
    </xf>
    <xf numFmtId="0" fontId="15" fillId="11" borderId="90" xfId="0" applyFont="1" applyFill="1" applyBorder="1" applyAlignment="1">
      <alignment horizontal="left" vertical="top" wrapText="1"/>
    </xf>
    <xf numFmtId="0" fontId="2" fillId="0" borderId="8" xfId="0" applyFont="1" applyBorder="1" applyAlignment="1">
      <alignment horizontal="left" vertical="top" wrapText="1"/>
    </xf>
    <xf numFmtId="43" fontId="2" fillId="0" borderId="8" xfId="1" applyFont="1" applyBorder="1" applyAlignment="1">
      <alignment horizontal="left" vertical="top" wrapText="1"/>
    </xf>
    <xf numFmtId="0" fontId="2" fillId="0" borderId="8" xfId="0" applyFont="1" applyFill="1" applyBorder="1" applyAlignment="1">
      <alignment horizontal="center" vertical="center" wrapText="1"/>
    </xf>
    <xf numFmtId="0" fontId="2" fillId="0" borderId="8" xfId="0" applyFont="1" applyFill="1" applyBorder="1" applyAlignment="1">
      <alignment horizontal="left" vertical="center" wrapText="1"/>
    </xf>
    <xf numFmtId="0" fontId="2" fillId="11" borderId="8" xfId="0" applyFont="1" applyFill="1" applyBorder="1" applyAlignment="1">
      <alignment horizontal="left" vertical="center" wrapText="1"/>
    </xf>
    <xf numFmtId="0" fontId="0" fillId="11" borderId="8" xfId="0" applyFont="1" applyFill="1" applyBorder="1" applyAlignment="1">
      <alignment horizontal="left" vertical="center" wrapText="1"/>
    </xf>
    <xf numFmtId="49" fontId="2" fillId="0" borderId="8" xfId="0" applyNumberFormat="1" applyFont="1" applyFill="1" applyBorder="1" applyAlignment="1">
      <alignment horizontal="center" vertical="center" wrapText="1"/>
    </xf>
    <xf numFmtId="0" fontId="15" fillId="11" borderId="90" xfId="0" applyFont="1" applyFill="1" applyBorder="1" applyAlignment="1">
      <alignment horizontal="justify" vertical="center" wrapText="1"/>
    </xf>
    <xf numFmtId="0" fontId="69" fillId="0" borderId="8" xfId="0" applyFont="1" applyBorder="1" applyAlignment="1">
      <alignment vertical="center" wrapText="1"/>
    </xf>
    <xf numFmtId="0" fontId="69" fillId="0" borderId="8" xfId="0" applyFont="1" applyBorder="1" applyAlignment="1">
      <alignment horizontal="left" vertical="center" wrapText="1"/>
    </xf>
    <xf numFmtId="14" fontId="15" fillId="0" borderId="8" xfId="0" applyNumberFormat="1" applyFont="1" applyFill="1" applyBorder="1" applyAlignment="1">
      <alignment horizontal="center" vertical="center"/>
    </xf>
    <xf numFmtId="14" fontId="1" fillId="0" borderId="8" xfId="0" applyNumberFormat="1" applyFont="1" applyFill="1" applyBorder="1" applyAlignment="1">
      <alignment horizontal="center" vertical="center" wrapText="1"/>
    </xf>
    <xf numFmtId="0" fontId="56" fillId="0" borderId="8" xfId="13" applyFont="1" applyFill="1" applyBorder="1" applyAlignment="1">
      <alignment horizontal="left" vertical="center" wrapText="1"/>
    </xf>
    <xf numFmtId="0" fontId="70" fillId="0" borderId="8" xfId="13" applyFont="1" applyBorder="1" applyAlignment="1">
      <alignment horizontal="center" vertical="center" wrapText="1"/>
    </xf>
    <xf numFmtId="0" fontId="56" fillId="0" borderId="8" xfId="13" applyFont="1" applyFill="1" applyBorder="1" applyAlignment="1">
      <alignment horizontal="center" vertical="center" wrapText="1"/>
    </xf>
    <xf numFmtId="0" fontId="70" fillId="0" borderId="8" xfId="13" applyFont="1" applyBorder="1" applyAlignment="1">
      <alignment horizontal="justify" vertical="center" wrapText="1"/>
    </xf>
    <xf numFmtId="0" fontId="1" fillId="0" borderId="8" xfId="0" applyFont="1" applyFill="1" applyBorder="1" applyAlignment="1">
      <alignment horizontal="center" vertical="center" wrapText="1"/>
    </xf>
    <xf numFmtId="49" fontId="15" fillId="0" borderId="8" xfId="0" applyNumberFormat="1" applyFont="1" applyFill="1" applyBorder="1" applyAlignment="1">
      <alignment horizontal="center" vertical="center" wrapText="1"/>
    </xf>
    <xf numFmtId="0" fontId="44" fillId="0" borderId="86" xfId="15" applyFont="1" applyBorder="1" applyAlignment="1">
      <alignment horizontal="justify" vertical="center" wrapText="1"/>
    </xf>
    <xf numFmtId="0" fontId="44" fillId="0" borderId="8" xfId="15" applyFont="1" applyBorder="1" applyAlignment="1">
      <alignment horizontal="justify" vertical="center" wrapText="1"/>
    </xf>
    <xf numFmtId="0" fontId="44" fillId="0" borderId="41" xfId="15" applyFont="1" applyBorder="1" applyAlignment="1">
      <alignment horizontal="justify" vertical="center" wrapText="1"/>
    </xf>
    <xf numFmtId="0" fontId="44" fillId="0" borderId="8" xfId="15" applyFont="1" applyBorder="1" applyAlignment="1">
      <alignment horizontal="left" vertical="center" wrapText="1"/>
    </xf>
    <xf numFmtId="0" fontId="15" fillId="0" borderId="8" xfId="14" applyFont="1" applyBorder="1" applyAlignment="1">
      <alignment vertical="center" wrapText="1"/>
    </xf>
    <xf numFmtId="0" fontId="1" fillId="0" borderId="8" xfId="0" applyFont="1" applyBorder="1" applyAlignment="1">
      <alignment vertical="center" wrapText="1"/>
    </xf>
    <xf numFmtId="0" fontId="1" fillId="0" borderId="8" xfId="0" applyFont="1" applyFill="1" applyBorder="1" applyAlignment="1">
      <alignment vertical="center" wrapText="1"/>
    </xf>
    <xf numFmtId="0" fontId="1" fillId="0" borderId="8" xfId="0" applyFont="1" applyBorder="1" applyAlignment="1">
      <alignment wrapText="1"/>
    </xf>
    <xf numFmtId="0" fontId="38" fillId="0" borderId="0" xfId="0" applyFont="1"/>
    <xf numFmtId="0" fontId="62" fillId="16" borderId="8" xfId="0" applyFont="1" applyFill="1" applyBorder="1" applyAlignment="1">
      <alignment horizontal="center" vertical="center" wrapText="1"/>
    </xf>
    <xf numFmtId="0" fontId="1" fillId="11" borderId="8" xfId="0" applyFont="1" applyFill="1" applyBorder="1" applyAlignment="1">
      <alignment horizontal="left" wrapText="1"/>
    </xf>
    <xf numFmtId="0" fontId="38" fillId="0" borderId="0" xfId="0" applyFont="1" applyAlignment="1">
      <alignment horizontal="left"/>
    </xf>
    <xf numFmtId="0" fontId="15" fillId="11" borderId="1" xfId="15" applyFont="1" applyFill="1" applyBorder="1" applyAlignment="1">
      <alignment horizontal="left" vertical="center" wrapText="1"/>
    </xf>
    <xf numFmtId="0" fontId="38" fillId="0" borderId="0" xfId="0" applyFont="1" applyBorder="1" applyAlignment="1">
      <alignment vertical="center" wrapText="1"/>
    </xf>
    <xf numFmtId="0" fontId="10" fillId="2" borderId="8"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19" xfId="0" applyFont="1" applyFill="1" applyBorder="1" applyAlignment="1">
      <alignment horizontal="center" vertical="center" wrapText="1"/>
    </xf>
    <xf numFmtId="0" fontId="10" fillId="2" borderId="1" xfId="0" applyFont="1" applyFill="1" applyBorder="1" applyAlignment="1">
      <alignment horizontal="left" vertical="center"/>
    </xf>
    <xf numFmtId="0" fontId="10" fillId="2" borderId="19" xfId="0" applyFont="1" applyFill="1" applyBorder="1" applyAlignment="1">
      <alignment horizontal="left" vertical="center"/>
    </xf>
    <xf numFmtId="0" fontId="10" fillId="2" borderId="9" xfId="0" applyFont="1" applyFill="1" applyBorder="1" applyAlignment="1">
      <alignment horizontal="left" vertical="center"/>
    </xf>
    <xf numFmtId="0" fontId="10" fillId="4" borderId="86" xfId="0" applyFont="1" applyFill="1" applyBorder="1" applyAlignment="1">
      <alignment horizontal="center" vertical="center" wrapText="1"/>
    </xf>
    <xf numFmtId="0" fontId="10" fillId="4" borderId="90" xfId="0" applyFont="1" applyFill="1" applyBorder="1" applyAlignment="1">
      <alignment horizontal="center" vertical="center" wrapText="1"/>
    </xf>
    <xf numFmtId="0" fontId="21" fillId="11" borderId="88" xfId="0" applyFont="1" applyFill="1" applyBorder="1" applyAlignment="1">
      <alignment horizontal="center" vertical="center"/>
    </xf>
    <xf numFmtId="0" fontId="21" fillId="11" borderId="90" xfId="0" applyFont="1" applyFill="1" applyBorder="1" applyAlignment="1">
      <alignment horizontal="center" vertical="center"/>
    </xf>
    <xf numFmtId="0" fontId="10" fillId="4" borderId="86" xfId="0" applyFont="1" applyFill="1" applyBorder="1" applyAlignment="1">
      <alignment horizontal="center" vertical="center"/>
    </xf>
    <xf numFmtId="0" fontId="10" fillId="4" borderId="90" xfId="0" applyFont="1" applyFill="1" applyBorder="1" applyAlignment="1">
      <alignment horizontal="center" vertical="center"/>
    </xf>
    <xf numFmtId="0" fontId="21" fillId="11" borderId="86" xfId="0" applyFont="1" applyFill="1" applyBorder="1" applyAlignment="1">
      <alignment horizontal="center" vertical="center"/>
    </xf>
    <xf numFmtId="0" fontId="9" fillId="0" borderId="1" xfId="0" applyFont="1" applyBorder="1" applyAlignment="1">
      <alignment horizontal="left" vertical="center"/>
    </xf>
    <xf numFmtId="0" fontId="9" fillId="0" borderId="19" xfId="0" applyFont="1" applyBorder="1" applyAlignment="1">
      <alignment horizontal="left" vertical="center"/>
    </xf>
    <xf numFmtId="0" fontId="9" fillId="0" borderId="2" xfId="0" applyFont="1" applyBorder="1" applyAlignment="1">
      <alignment horizontal="left" vertical="center"/>
    </xf>
    <xf numFmtId="0" fontId="11" fillId="0" borderId="0" xfId="0" applyFont="1" applyAlignment="1">
      <alignment horizontal="left" vertical="top" wrapText="1"/>
    </xf>
    <xf numFmtId="0" fontId="7" fillId="0" borderId="0" xfId="0" applyFont="1" applyAlignment="1">
      <alignment horizontal="center"/>
    </xf>
    <xf numFmtId="0" fontId="10" fillId="2" borderId="3" xfId="0" applyFont="1" applyFill="1" applyBorder="1" applyAlignment="1">
      <alignment horizontal="center" vertical="center" wrapText="1"/>
    </xf>
    <xf numFmtId="0" fontId="10" fillId="2" borderId="41" xfId="0" applyFont="1" applyFill="1" applyBorder="1" applyAlignment="1">
      <alignment horizontal="center" vertical="center" wrapText="1"/>
    </xf>
    <xf numFmtId="0" fontId="10" fillId="2" borderId="111"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0" fillId="2" borderId="24" xfId="0" applyFont="1" applyFill="1" applyBorder="1" applyAlignment="1">
      <alignment horizontal="center" vertical="center" wrapText="1"/>
    </xf>
    <xf numFmtId="0" fontId="10" fillId="2" borderId="95" xfId="0" applyFont="1" applyFill="1" applyBorder="1" applyAlignment="1">
      <alignment horizontal="center" vertical="center" wrapText="1"/>
    </xf>
    <xf numFmtId="0" fontId="10" fillId="2" borderId="1" xfId="0" applyFont="1" applyFill="1" applyBorder="1" applyAlignment="1">
      <alignment horizontal="center" vertical="center"/>
    </xf>
    <xf numFmtId="0" fontId="10" fillId="2" borderId="19" xfId="0" applyFont="1" applyFill="1" applyBorder="1" applyAlignment="1">
      <alignment horizontal="center" vertical="center"/>
    </xf>
    <xf numFmtId="0" fontId="10" fillId="2" borderId="10" xfId="0" applyFont="1" applyFill="1" applyBorder="1" applyAlignment="1">
      <alignment horizontal="center" vertical="center"/>
    </xf>
    <xf numFmtId="0" fontId="10" fillId="2" borderId="9" xfId="0" applyFont="1" applyFill="1" applyBorder="1" applyAlignment="1">
      <alignment horizontal="center" vertical="center"/>
    </xf>
    <xf numFmtId="0" fontId="10" fillId="2" borderId="2" xfId="0" applyFont="1" applyFill="1" applyBorder="1" applyAlignment="1">
      <alignment horizontal="center" vertical="center"/>
    </xf>
    <xf numFmtId="0" fontId="9" fillId="0" borderId="1" xfId="0" applyFont="1" applyBorder="1" applyAlignment="1">
      <alignment horizontal="left" vertical="top"/>
    </xf>
    <xf numFmtId="0" fontId="9" fillId="0" borderId="19" xfId="0" applyFont="1" applyBorder="1" applyAlignment="1">
      <alignment horizontal="left" vertical="top"/>
    </xf>
    <xf numFmtId="0" fontId="9" fillId="0" borderId="1" xfId="0" applyFont="1" applyBorder="1" applyAlignment="1">
      <alignment horizontal="center"/>
    </xf>
    <xf numFmtId="0" fontId="9" fillId="0" borderId="19" xfId="0" applyFont="1" applyBorder="1" applyAlignment="1">
      <alignment horizontal="center"/>
    </xf>
    <xf numFmtId="0" fontId="9" fillId="0" borderId="2" xfId="0" applyFont="1" applyBorder="1" applyAlignment="1">
      <alignment horizontal="center"/>
    </xf>
    <xf numFmtId="0" fontId="51" fillId="0" borderId="0" xfId="0" applyFont="1" applyAlignment="1">
      <alignment horizontal="center"/>
    </xf>
    <xf numFmtId="0" fontId="6" fillId="0" borderId="0" xfId="0" applyFont="1" applyAlignment="1">
      <alignment horizontal="center"/>
    </xf>
    <xf numFmtId="49" fontId="2" fillId="0" borderId="86" xfId="0" applyNumberFormat="1" applyFont="1" applyFill="1" applyBorder="1" applyAlignment="1">
      <alignment horizontal="center" vertical="center" wrapText="1"/>
    </xf>
    <xf numFmtId="49" fontId="0" fillId="0" borderId="88" xfId="0" applyNumberFormat="1" applyFont="1" applyFill="1" applyBorder="1" applyAlignment="1">
      <alignment horizontal="center" vertical="center" wrapText="1"/>
    </xf>
    <xf numFmtId="49" fontId="0" fillId="0" borderId="90" xfId="0" applyNumberFormat="1" applyFont="1" applyFill="1" applyBorder="1" applyAlignment="1">
      <alignment horizontal="center" vertical="center" wrapText="1"/>
    </xf>
    <xf numFmtId="0" fontId="48" fillId="0" borderId="0" xfId="0" applyFont="1" applyFill="1" applyAlignment="1">
      <alignment horizontal="center"/>
    </xf>
    <xf numFmtId="0" fontId="2" fillId="0" borderId="8" xfId="0" applyFont="1" applyFill="1" applyBorder="1" applyAlignment="1">
      <alignment horizontal="center" vertical="center" wrapText="1"/>
    </xf>
    <xf numFmtId="0" fontId="0" fillId="0" borderId="8" xfId="0" applyFont="1" applyFill="1" applyBorder="1" applyAlignment="1">
      <alignment horizontal="center" vertical="center" wrapText="1"/>
    </xf>
    <xf numFmtId="0" fontId="2" fillId="0" borderId="86" xfId="0" applyFont="1" applyFill="1" applyBorder="1" applyAlignment="1">
      <alignment horizontal="center" vertical="center" wrapText="1"/>
    </xf>
    <xf numFmtId="0" fontId="0" fillId="0" borderId="88" xfId="0" applyFont="1" applyFill="1" applyBorder="1" applyAlignment="1">
      <alignment horizontal="center" vertical="center" wrapText="1"/>
    </xf>
    <xf numFmtId="0" fontId="0" fillId="0" borderId="90" xfId="0" applyFont="1" applyFill="1" applyBorder="1" applyAlignment="1">
      <alignment horizontal="center" vertical="center" wrapText="1"/>
    </xf>
    <xf numFmtId="0" fontId="0" fillId="0" borderId="86" xfId="0" applyFont="1" applyFill="1" applyBorder="1" applyAlignment="1">
      <alignment horizontal="center" vertical="center" wrapText="1"/>
    </xf>
    <xf numFmtId="0" fontId="15" fillId="11" borderId="86" xfId="0" applyFont="1" applyFill="1" applyBorder="1" applyAlignment="1">
      <alignment horizontal="justify" vertical="center" wrapText="1"/>
    </xf>
    <xf numFmtId="0" fontId="15" fillId="11" borderId="88" xfId="0" applyFont="1" applyFill="1" applyBorder="1" applyAlignment="1">
      <alignment horizontal="justify" vertical="center" wrapText="1"/>
    </xf>
    <xf numFmtId="0" fontId="15" fillId="11" borderId="90" xfId="0" applyFont="1" applyFill="1" applyBorder="1" applyAlignment="1">
      <alignment horizontal="justify" vertical="center" wrapText="1"/>
    </xf>
    <xf numFmtId="0" fontId="0" fillId="0" borderId="86" xfId="0" applyFont="1" applyFill="1" applyBorder="1" applyAlignment="1">
      <alignment horizontal="justify" vertical="center" wrapText="1"/>
    </xf>
    <xf numFmtId="0" fontId="0" fillId="0" borderId="88" xfId="0" applyFont="1" applyFill="1" applyBorder="1" applyAlignment="1">
      <alignment horizontal="justify" vertical="center" wrapText="1"/>
    </xf>
    <xf numFmtId="0" fontId="0" fillId="0" borderId="90" xfId="0" applyFont="1" applyFill="1" applyBorder="1" applyAlignment="1">
      <alignment horizontal="justify" vertical="center" wrapText="1"/>
    </xf>
    <xf numFmtId="49" fontId="2" fillId="0" borderId="8" xfId="0" applyNumberFormat="1" applyFont="1" applyFill="1" applyBorder="1" applyAlignment="1">
      <alignment horizontal="center" vertical="center" wrapText="1"/>
    </xf>
    <xf numFmtId="49" fontId="0" fillId="0" borderId="8" xfId="0" applyNumberFormat="1" applyFont="1" applyFill="1" applyBorder="1" applyAlignment="1">
      <alignment horizontal="center" vertical="center" wrapText="1"/>
    </xf>
    <xf numFmtId="0" fontId="2" fillId="0" borderId="88" xfId="0" applyFont="1" applyFill="1" applyBorder="1" applyAlignment="1">
      <alignment horizontal="center" vertical="center" wrapText="1"/>
    </xf>
    <xf numFmtId="0" fontId="2" fillId="0" borderId="90" xfId="0" applyFont="1" applyFill="1" applyBorder="1" applyAlignment="1">
      <alignment horizontal="center" vertical="center" wrapText="1"/>
    </xf>
    <xf numFmtId="0" fontId="2" fillId="0" borderId="86" xfId="0" applyFont="1" applyFill="1" applyBorder="1" applyAlignment="1">
      <alignment horizontal="left" vertical="center" wrapText="1"/>
    </xf>
    <xf numFmtId="0" fontId="0" fillId="0" borderId="88" xfId="0" applyFont="1" applyFill="1" applyBorder="1" applyAlignment="1">
      <alignment horizontal="left" vertical="center" wrapText="1"/>
    </xf>
    <xf numFmtId="0" fontId="0" fillId="0" borderId="90" xfId="0" applyFont="1" applyFill="1" applyBorder="1" applyAlignment="1">
      <alignment horizontal="left" vertical="center" wrapText="1"/>
    </xf>
    <xf numFmtId="0" fontId="1" fillId="11" borderId="8"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86" xfId="0" applyFont="1" applyBorder="1" applyAlignment="1">
      <alignment horizontal="center" vertical="center" wrapText="1"/>
    </xf>
    <xf numFmtId="0" fontId="1" fillId="0" borderId="88" xfId="0" applyFont="1" applyBorder="1" applyAlignment="1">
      <alignment horizontal="center" vertical="center" wrapText="1"/>
    </xf>
    <xf numFmtId="0" fontId="1" fillId="0" borderId="8" xfId="0" applyFont="1" applyBorder="1" applyAlignment="1">
      <alignment horizontal="center" vertical="center" wrapText="1"/>
    </xf>
    <xf numFmtId="0" fontId="1" fillId="11" borderId="86" xfId="0" applyFont="1" applyFill="1" applyBorder="1" applyAlignment="1">
      <alignment horizontal="center" vertical="center" wrapText="1"/>
    </xf>
    <xf numFmtId="0" fontId="1" fillId="11" borderId="88" xfId="0" applyFont="1" applyFill="1" applyBorder="1" applyAlignment="1">
      <alignment horizontal="center" vertical="center" wrapText="1"/>
    </xf>
    <xf numFmtId="0" fontId="1" fillId="11" borderId="90" xfId="0" applyFont="1" applyFill="1" applyBorder="1" applyAlignment="1">
      <alignment horizontal="center" vertical="center" wrapText="1"/>
    </xf>
    <xf numFmtId="0" fontId="69" fillId="11" borderId="8" xfId="0" applyFont="1" applyFill="1" applyBorder="1" applyAlignment="1">
      <alignment horizontal="center" vertical="center" wrapText="1"/>
    </xf>
    <xf numFmtId="0" fontId="56" fillId="0" borderId="8" xfId="0" applyFont="1" applyFill="1" applyBorder="1" applyAlignment="1">
      <alignment horizontal="center" vertical="center" wrapText="1"/>
    </xf>
    <xf numFmtId="0" fontId="69" fillId="0" borderId="8" xfId="0" applyFont="1" applyBorder="1" applyAlignment="1">
      <alignment horizontal="left" vertical="center" wrapText="1"/>
    </xf>
    <xf numFmtId="0" fontId="56" fillId="0" borderId="86" xfId="0" applyFont="1" applyFill="1" applyBorder="1" applyAlignment="1">
      <alignment horizontal="center" vertical="center" wrapText="1"/>
    </xf>
    <xf numFmtId="0" fontId="56" fillId="0" borderId="88" xfId="0" applyFont="1" applyFill="1" applyBorder="1" applyAlignment="1">
      <alignment horizontal="center" vertical="center" wrapText="1"/>
    </xf>
    <xf numFmtId="0" fontId="56" fillId="0" borderId="90" xfId="0" applyFont="1" applyFill="1" applyBorder="1" applyAlignment="1">
      <alignment horizontal="center" vertical="center" wrapText="1"/>
    </xf>
    <xf numFmtId="0" fontId="1" fillId="0" borderId="90" xfId="0" applyFont="1" applyBorder="1" applyAlignment="1">
      <alignment horizontal="center" vertical="center" wrapText="1"/>
    </xf>
    <xf numFmtId="0" fontId="69" fillId="0" borderId="86" xfId="15" applyFont="1" applyBorder="1" applyAlignment="1">
      <alignment horizontal="center" vertical="center" wrapText="1"/>
    </xf>
    <xf numFmtId="0" fontId="69" fillId="0" borderId="90" xfId="15" applyFont="1" applyBorder="1" applyAlignment="1">
      <alignment horizontal="center" vertical="center" wrapText="1"/>
    </xf>
    <xf numFmtId="0" fontId="1" fillId="0" borderId="86" xfId="0" applyFont="1" applyFill="1" applyBorder="1" applyAlignment="1">
      <alignment horizontal="center" vertical="center" wrapText="1"/>
    </xf>
    <xf numFmtId="0" fontId="1" fillId="0" borderId="88" xfId="0" applyFont="1" applyFill="1" applyBorder="1" applyAlignment="1">
      <alignment horizontal="center" vertical="center" wrapText="1"/>
    </xf>
    <xf numFmtId="0" fontId="1" fillId="0" borderId="90" xfId="0" applyFont="1" applyFill="1" applyBorder="1" applyAlignment="1">
      <alignment horizontal="center" vertical="center" wrapText="1"/>
    </xf>
    <xf numFmtId="0" fontId="56" fillId="0" borderId="8" xfId="13" applyFont="1" applyFill="1" applyBorder="1" applyAlignment="1">
      <alignment horizontal="center" vertical="center" wrapText="1"/>
    </xf>
    <xf numFmtId="0" fontId="15" fillId="0" borderId="8" xfId="14" applyFont="1" applyBorder="1" applyAlignment="1">
      <alignment horizontal="center" vertical="center" wrapText="1"/>
    </xf>
    <xf numFmtId="0" fontId="68" fillId="0" borderId="0" xfId="0" applyFont="1" applyAlignment="1">
      <alignment horizontal="center"/>
    </xf>
    <xf numFmtId="0" fontId="62" fillId="16" borderId="8"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97" xfId="0" applyFont="1" applyFill="1" applyBorder="1" applyAlignment="1">
      <alignment horizontal="center" vertical="center" wrapText="1"/>
    </xf>
    <xf numFmtId="9" fontId="15" fillId="0" borderId="86" xfId="12" applyNumberFormat="1" applyFont="1" applyFill="1" applyBorder="1" applyAlignment="1">
      <alignment horizontal="center" vertical="center" wrapText="1"/>
    </xf>
    <xf numFmtId="9" fontId="15" fillId="0" borderId="88" xfId="12" applyNumberFormat="1" applyFont="1" applyFill="1" applyBorder="1" applyAlignment="1">
      <alignment horizontal="center" vertical="center" wrapText="1"/>
    </xf>
    <xf numFmtId="9" fontId="15" fillId="0" borderId="90" xfId="12" applyNumberFormat="1" applyFont="1" applyFill="1" applyBorder="1" applyAlignment="1">
      <alignment horizontal="center" vertical="center" wrapText="1"/>
    </xf>
    <xf numFmtId="0" fontId="1" fillId="11" borderId="1" xfId="0" applyFont="1" applyFill="1" applyBorder="1" applyAlignment="1">
      <alignment horizontal="center" vertical="center" wrapText="1"/>
    </xf>
    <xf numFmtId="0" fontId="15" fillId="11" borderId="8" xfId="0" applyFont="1" applyFill="1" applyBorder="1" applyAlignment="1">
      <alignment horizontal="center" vertical="center" wrapText="1"/>
    </xf>
    <xf numFmtId="0" fontId="44" fillId="0" borderId="86" xfId="15" applyFont="1" applyBorder="1" applyAlignment="1">
      <alignment horizontal="left" vertical="center" wrapText="1"/>
    </xf>
    <xf numFmtId="0" fontId="44" fillId="0" borderId="90" xfId="15" applyFont="1" applyBorder="1" applyAlignment="1">
      <alignment horizontal="left" vertical="center" wrapText="1"/>
    </xf>
    <xf numFmtId="0" fontId="15" fillId="0" borderId="86" xfId="12" applyFont="1" applyFill="1" applyBorder="1" applyAlignment="1">
      <alignment horizontal="center" vertical="center" wrapText="1"/>
    </xf>
    <xf numFmtId="0" fontId="15" fillId="0" borderId="88" xfId="12" applyFont="1" applyFill="1" applyBorder="1" applyAlignment="1">
      <alignment horizontal="center" vertical="center" wrapText="1"/>
    </xf>
    <xf numFmtId="0" fontId="15" fillId="0" borderId="90" xfId="12" applyFont="1" applyFill="1" applyBorder="1" applyAlignment="1">
      <alignment horizontal="center" vertical="center" wrapText="1"/>
    </xf>
    <xf numFmtId="0" fontId="1" fillId="0" borderId="122" xfId="0" applyFont="1" applyFill="1" applyBorder="1" applyAlignment="1">
      <alignment horizontal="center" vertical="center" wrapText="1"/>
    </xf>
    <xf numFmtId="0" fontId="1" fillId="0" borderId="123" xfId="0" applyFont="1" applyFill="1" applyBorder="1" applyAlignment="1">
      <alignment horizontal="center" vertical="center" wrapText="1"/>
    </xf>
    <xf numFmtId="0" fontId="15" fillId="0" borderId="86" xfId="0" applyFont="1" applyBorder="1" applyAlignment="1">
      <alignment horizontal="center" vertical="center" wrapText="1"/>
    </xf>
    <xf numFmtId="0" fontId="15" fillId="0" borderId="88" xfId="0" applyFont="1" applyBorder="1" applyAlignment="1">
      <alignment horizontal="center" vertical="center" wrapText="1"/>
    </xf>
    <xf numFmtId="0" fontId="15" fillId="0" borderId="90" xfId="0" applyFont="1" applyBorder="1" applyAlignment="1">
      <alignment horizontal="center" vertical="center" wrapText="1"/>
    </xf>
    <xf numFmtId="0" fontId="41" fillId="0" borderId="0" xfId="0" applyFont="1" applyAlignment="1">
      <alignment horizontal="center" vertical="center"/>
    </xf>
    <xf numFmtId="0" fontId="43" fillId="0" borderId="86" xfId="0" applyFont="1" applyBorder="1" applyAlignment="1">
      <alignment horizontal="center" vertical="center"/>
    </xf>
    <xf numFmtId="0" fontId="43" fillId="0" borderId="88" xfId="0" applyFont="1" applyBorder="1" applyAlignment="1">
      <alignment horizontal="center" vertical="center"/>
    </xf>
    <xf numFmtId="0" fontId="43" fillId="0" borderId="8" xfId="0" applyFont="1" applyBorder="1" applyAlignment="1">
      <alignment horizontal="center" vertical="center"/>
    </xf>
    <xf numFmtId="0" fontId="43" fillId="0" borderId="86" xfId="0" applyFont="1" applyFill="1" applyBorder="1" applyAlignment="1">
      <alignment horizontal="center" vertical="center" wrapText="1"/>
    </xf>
    <xf numFmtId="0" fontId="43" fillId="0" borderId="88" xfId="0" applyFont="1" applyFill="1" applyBorder="1" applyAlignment="1">
      <alignment horizontal="center" vertical="center" wrapText="1"/>
    </xf>
    <xf numFmtId="0" fontId="43" fillId="0" borderId="90" xfId="0" applyFont="1" applyFill="1" applyBorder="1" applyAlignment="1">
      <alignment horizontal="center" vertical="center" wrapText="1"/>
    </xf>
    <xf numFmtId="0" fontId="45" fillId="0" borderId="86" xfId="0" applyFont="1" applyFill="1" applyBorder="1" applyAlignment="1">
      <alignment horizontal="center" vertical="center" wrapText="1"/>
    </xf>
    <xf numFmtId="0" fontId="45" fillId="0" borderId="88" xfId="0" applyFont="1" applyFill="1" applyBorder="1" applyAlignment="1">
      <alignment horizontal="center" vertical="center" wrapText="1"/>
    </xf>
    <xf numFmtId="0" fontId="45" fillId="0" borderId="90" xfId="0" applyFont="1" applyFill="1" applyBorder="1" applyAlignment="1">
      <alignment horizontal="center" vertical="center" wrapText="1"/>
    </xf>
    <xf numFmtId="0" fontId="43" fillId="0" borderId="121" xfId="0" applyFont="1" applyFill="1" applyBorder="1" applyAlignment="1">
      <alignment horizontal="center" vertical="center" wrapText="1"/>
    </xf>
    <xf numFmtId="0" fontId="43" fillId="0" borderId="90" xfId="0" applyFont="1" applyBorder="1" applyAlignment="1">
      <alignment horizontal="center" vertical="center"/>
    </xf>
    <xf numFmtId="0" fontId="44" fillId="0" borderId="86" xfId="0" applyFont="1" applyBorder="1" applyAlignment="1">
      <alignment horizontal="center" vertical="center" wrapText="1"/>
    </xf>
    <xf numFmtId="0" fontId="44" fillId="0" borderId="88" xfId="0" applyFont="1" applyBorder="1" applyAlignment="1">
      <alignment horizontal="center" vertical="center" wrapText="1"/>
    </xf>
    <xf numFmtId="0" fontId="44" fillId="0" borderId="97" xfId="0" applyFont="1" applyBorder="1" applyAlignment="1">
      <alignment horizontal="center" vertical="center" wrapText="1"/>
    </xf>
    <xf numFmtId="0" fontId="43" fillId="0" borderId="86" xfId="0" applyFont="1" applyBorder="1" applyAlignment="1">
      <alignment horizontal="center" vertical="center" wrapText="1"/>
    </xf>
    <xf numFmtId="0" fontId="43" fillId="0" borderId="88"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8" xfId="0" applyFont="1" applyFill="1" applyBorder="1" applyAlignment="1">
      <alignment horizontal="center" vertical="center" wrapText="1"/>
    </xf>
    <xf numFmtId="0" fontId="5" fillId="0" borderId="1" xfId="0" applyFont="1" applyBorder="1" applyAlignment="1">
      <alignment horizontal="left"/>
    </xf>
    <xf numFmtId="0" fontId="5" fillId="0" borderId="19" xfId="0" applyFont="1" applyBorder="1" applyAlignment="1">
      <alignment horizontal="left"/>
    </xf>
    <xf numFmtId="0" fontId="5" fillId="0" borderId="2" xfId="0" applyFont="1" applyBorder="1" applyAlignment="1">
      <alignment horizontal="left"/>
    </xf>
    <xf numFmtId="0" fontId="9" fillId="0" borderId="101" xfId="0" applyFont="1" applyBorder="1" applyAlignment="1">
      <alignment horizontal="left"/>
    </xf>
    <xf numFmtId="0" fontId="9" fillId="0" borderId="102" xfId="0" applyFont="1" applyBorder="1" applyAlignment="1">
      <alignment horizontal="left"/>
    </xf>
    <xf numFmtId="0" fontId="9" fillId="0" borderId="108" xfId="0" applyFont="1" applyBorder="1" applyAlignment="1">
      <alignment horizontal="left"/>
    </xf>
    <xf numFmtId="0" fontId="10" fillId="2" borderId="23" xfId="0" applyFont="1" applyFill="1" applyBorder="1" applyAlignment="1">
      <alignment horizontal="center" vertical="center"/>
    </xf>
    <xf numFmtId="0" fontId="10" fillId="2" borderId="119" xfId="0" applyFont="1" applyFill="1" applyBorder="1" applyAlignment="1">
      <alignment horizontal="center" vertical="center"/>
    </xf>
    <xf numFmtId="0" fontId="10" fillId="2" borderId="52" xfId="0" applyFont="1" applyFill="1" applyBorder="1" applyAlignment="1">
      <alignment horizontal="center" vertical="center" wrapText="1"/>
    </xf>
    <xf numFmtId="0" fontId="10" fillId="2" borderId="99" xfId="0" applyFont="1" applyFill="1" applyBorder="1" applyAlignment="1">
      <alignment horizontal="center" vertical="center"/>
    </xf>
    <xf numFmtId="0" fontId="10" fillId="2" borderId="41" xfId="0" applyFont="1" applyFill="1" applyBorder="1" applyAlignment="1">
      <alignment horizontal="center" vertical="center"/>
    </xf>
    <xf numFmtId="0" fontId="10" fillId="2" borderId="111" xfId="0" applyFont="1" applyFill="1" applyBorder="1" applyAlignment="1">
      <alignment horizontal="center" vertical="center"/>
    </xf>
    <xf numFmtId="0" fontId="10" fillId="2" borderId="120" xfId="0" applyFont="1" applyFill="1" applyBorder="1" applyAlignment="1">
      <alignment horizontal="center" vertical="center"/>
    </xf>
    <xf numFmtId="0" fontId="10" fillId="2" borderId="113" xfId="0" applyFont="1" applyFill="1" applyBorder="1" applyAlignment="1">
      <alignment horizontal="center" vertical="center"/>
    </xf>
    <xf numFmtId="0" fontId="10" fillId="2" borderId="69" xfId="0" applyFont="1" applyFill="1" applyBorder="1" applyAlignment="1">
      <alignment horizontal="center" vertical="center"/>
    </xf>
    <xf numFmtId="0" fontId="9" fillId="11" borderId="101" xfId="0" applyFont="1" applyFill="1" applyBorder="1" applyAlignment="1">
      <alignment horizontal="left"/>
    </xf>
    <xf numFmtId="0" fontId="9" fillId="11" borderId="102" xfId="0" applyFont="1" applyFill="1" applyBorder="1" applyAlignment="1">
      <alignment horizontal="left"/>
    </xf>
    <xf numFmtId="0" fontId="9" fillId="11" borderId="108" xfId="0" applyFont="1" applyFill="1" applyBorder="1" applyAlignment="1">
      <alignment horizontal="left"/>
    </xf>
    <xf numFmtId="0" fontId="9" fillId="0" borderId="1" xfId="0" applyFont="1" applyBorder="1" applyAlignment="1">
      <alignment horizontal="left"/>
    </xf>
    <xf numFmtId="0" fontId="9" fillId="0" borderId="2" xfId="0" applyFont="1" applyBorder="1" applyAlignment="1">
      <alignment horizontal="left"/>
    </xf>
    <xf numFmtId="0" fontId="10" fillId="2" borderId="11" xfId="0" applyFont="1" applyFill="1" applyBorder="1" applyAlignment="1">
      <alignment horizontal="center" vertical="center"/>
    </xf>
    <xf numFmtId="0" fontId="10" fillId="2" borderId="12" xfId="0" applyFont="1" applyFill="1" applyBorder="1" applyAlignment="1">
      <alignment horizontal="center" vertical="center"/>
    </xf>
    <xf numFmtId="0" fontId="10" fillId="2" borderId="14" xfId="0" applyFont="1" applyFill="1" applyBorder="1" applyAlignment="1">
      <alignment horizontal="center" vertical="center"/>
    </xf>
    <xf numFmtId="0" fontId="8" fillId="15" borderId="5" xfId="0" applyFont="1" applyFill="1" applyBorder="1" applyAlignment="1">
      <alignment horizontal="center"/>
    </xf>
    <xf numFmtId="0" fontId="8" fillId="15" borderId="118" xfId="0" applyFont="1" applyFill="1" applyBorder="1" applyAlignment="1">
      <alignment horizontal="center"/>
    </xf>
    <xf numFmtId="0" fontId="11" fillId="0" borderId="0" xfId="0" applyFont="1" applyAlignment="1">
      <alignment horizontal="left" vertical="center" wrapText="1"/>
    </xf>
    <xf numFmtId="0" fontId="10" fillId="2" borderId="24" xfId="0" applyFont="1" applyFill="1" applyBorder="1" applyAlignment="1">
      <alignment horizontal="center" vertical="center"/>
    </xf>
    <xf numFmtId="0" fontId="10" fillId="2" borderId="114"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7" xfId="0" applyFont="1" applyFill="1" applyBorder="1" applyAlignment="1">
      <alignment horizontal="center" vertical="center"/>
    </xf>
    <xf numFmtId="0" fontId="9" fillId="0" borderId="1" xfId="0" applyFont="1" applyBorder="1" applyAlignment="1">
      <alignment horizontal="left" indent="2"/>
    </xf>
    <xf numFmtId="0" fontId="9" fillId="0" borderId="2" xfId="0" applyFont="1" applyBorder="1" applyAlignment="1">
      <alignment horizontal="left" indent="2"/>
    </xf>
    <xf numFmtId="0" fontId="10" fillId="2" borderId="1" xfId="0" applyFont="1" applyFill="1" applyBorder="1" applyAlignment="1">
      <alignment horizontal="center"/>
    </xf>
    <xf numFmtId="0" fontId="10" fillId="2" borderId="19" xfId="0" applyFont="1" applyFill="1" applyBorder="1" applyAlignment="1">
      <alignment horizontal="center"/>
    </xf>
    <xf numFmtId="0" fontId="10" fillId="2" borderId="9" xfId="0" applyFont="1" applyFill="1" applyBorder="1" applyAlignment="1">
      <alignment horizontal="center"/>
    </xf>
    <xf numFmtId="0" fontId="27" fillId="0" borderId="0" xfId="0" applyFont="1" applyAlignment="1">
      <alignment horizontal="center" vertical="center" wrapText="1"/>
    </xf>
    <xf numFmtId="0" fontId="10" fillId="2" borderId="112" xfId="0" applyFont="1" applyFill="1" applyBorder="1" applyAlignment="1">
      <alignment horizontal="center" vertical="center" wrapText="1"/>
    </xf>
    <xf numFmtId="0" fontId="10" fillId="2" borderId="113" xfId="0" applyFont="1" applyFill="1" applyBorder="1" applyAlignment="1">
      <alignment horizontal="center" vertical="center" wrapText="1"/>
    </xf>
    <xf numFmtId="0" fontId="10" fillId="2" borderId="69" xfId="0" applyFont="1" applyFill="1" applyBorder="1" applyAlignment="1">
      <alignment horizontal="center" vertical="center" wrapText="1"/>
    </xf>
    <xf numFmtId="0" fontId="12" fillId="11" borderId="0" xfId="0" applyFont="1" applyFill="1" applyAlignment="1">
      <alignment horizontal="center" vertical="center"/>
    </xf>
    <xf numFmtId="0" fontId="0" fillId="11" borderId="0" xfId="0" applyFill="1" applyAlignment="1">
      <alignment horizontal="center"/>
    </xf>
    <xf numFmtId="0" fontId="5" fillId="11" borderId="0" xfId="0" applyFont="1" applyFill="1" applyAlignment="1">
      <alignment horizontal="left"/>
    </xf>
    <xf numFmtId="0" fontId="4" fillId="0" borderId="0" xfId="0" applyFont="1" applyAlignment="1">
      <alignment horizontal="center"/>
    </xf>
    <xf numFmtId="0" fontId="10" fillId="2" borderId="45" xfId="0" applyFont="1" applyFill="1" applyBorder="1" applyAlignment="1">
      <alignment horizontal="center" vertical="center" wrapText="1"/>
    </xf>
    <xf numFmtId="0" fontId="10" fillId="2" borderId="109"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0" fillId="2" borderId="67"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68"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22" xfId="0" applyFont="1" applyFill="1" applyBorder="1" applyAlignment="1">
      <alignment horizontal="center" vertical="center" wrapText="1"/>
    </xf>
    <xf numFmtId="0" fontId="9" fillId="11" borderId="1" xfId="0" applyFont="1" applyFill="1" applyBorder="1" applyAlignment="1">
      <alignment horizontal="left" vertical="center"/>
    </xf>
    <xf numFmtId="0" fontId="9" fillId="11" borderId="2" xfId="0" applyFont="1" applyFill="1" applyBorder="1" applyAlignment="1">
      <alignment horizontal="left" vertical="center"/>
    </xf>
    <xf numFmtId="0" fontId="9" fillId="11" borderId="1" xfId="0" applyFont="1" applyFill="1" applyBorder="1" applyAlignment="1">
      <alignment horizontal="center" vertical="center"/>
    </xf>
    <xf numFmtId="0" fontId="9" fillId="11" borderId="19" xfId="0" applyFont="1" applyFill="1" applyBorder="1" applyAlignment="1">
      <alignment horizontal="center" vertical="center"/>
    </xf>
    <xf numFmtId="0" fontId="9" fillId="11" borderId="2" xfId="0" applyFont="1" applyFill="1" applyBorder="1" applyAlignment="1">
      <alignment horizontal="center" vertic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7" fillId="0" borderId="53" xfId="0" applyFont="1" applyBorder="1" applyAlignment="1">
      <alignment horizontal="center"/>
    </xf>
    <xf numFmtId="0" fontId="7" fillId="0" borderId="54" xfId="0" applyFont="1" applyBorder="1" applyAlignment="1">
      <alignment horizontal="center"/>
    </xf>
    <xf numFmtId="0" fontId="14" fillId="0" borderId="0" xfId="0" applyFont="1" applyAlignment="1">
      <alignment horizontal="center"/>
    </xf>
    <xf numFmtId="0" fontId="10" fillId="2" borderId="101" xfId="0" applyFont="1" applyFill="1" applyBorder="1" applyAlignment="1">
      <alignment horizontal="center" vertical="center"/>
    </xf>
    <xf numFmtId="0" fontId="10" fillId="2" borderId="102" xfId="0" applyFont="1" applyFill="1" applyBorder="1" applyAlignment="1">
      <alignment horizontal="center" vertical="center"/>
    </xf>
    <xf numFmtId="0" fontId="10" fillId="2" borderId="16" xfId="0" applyFont="1" applyFill="1" applyBorder="1" applyAlignment="1">
      <alignment horizontal="center" vertical="center"/>
    </xf>
    <xf numFmtId="0" fontId="10" fillId="2" borderId="56" xfId="0" applyFont="1" applyFill="1" applyBorder="1" applyAlignment="1">
      <alignment horizontal="center" vertical="center"/>
    </xf>
    <xf numFmtId="0" fontId="10" fillId="2" borderId="57" xfId="0" applyFont="1" applyFill="1" applyBorder="1" applyAlignment="1">
      <alignment horizontal="center" vertical="center"/>
    </xf>
    <xf numFmtId="0" fontId="10" fillId="2" borderId="103" xfId="0" applyFont="1" applyFill="1" applyBorder="1" applyAlignment="1">
      <alignment horizontal="center" vertical="center"/>
    </xf>
    <xf numFmtId="0" fontId="10" fillId="2" borderId="108" xfId="0" applyFont="1" applyFill="1" applyBorder="1" applyAlignment="1">
      <alignment horizontal="center" vertical="center"/>
    </xf>
    <xf numFmtId="0" fontId="9" fillId="0" borderId="5" xfId="0" applyFont="1" applyBorder="1" applyAlignment="1">
      <alignment horizontal="center"/>
    </xf>
    <xf numFmtId="0" fontId="9" fillId="0" borderId="44" xfId="0" applyFont="1" applyBorder="1" applyAlignment="1">
      <alignment horizontal="center"/>
    </xf>
    <xf numFmtId="0" fontId="9" fillId="0" borderId="104" xfId="0" applyFont="1" applyBorder="1" applyAlignment="1">
      <alignment horizontal="center"/>
    </xf>
    <xf numFmtId="0" fontId="9" fillId="0" borderId="8" xfId="0" applyFont="1" applyBorder="1" applyAlignment="1">
      <alignment horizontal="center" vertical="center"/>
    </xf>
    <xf numFmtId="0" fontId="9" fillId="0" borderId="105" xfId="0" applyFont="1" applyBorder="1" applyAlignment="1">
      <alignment horizontal="center" vertical="center"/>
    </xf>
    <xf numFmtId="0" fontId="10" fillId="2" borderId="3" xfId="0" applyFont="1" applyFill="1" applyBorder="1" applyAlignment="1">
      <alignment horizontal="center" vertical="center"/>
    </xf>
    <xf numFmtId="0" fontId="10" fillId="2" borderId="97" xfId="0" applyFont="1" applyFill="1" applyBorder="1" applyAlignment="1">
      <alignment horizontal="center" vertical="center"/>
    </xf>
    <xf numFmtId="0" fontId="10" fillId="2" borderId="18" xfId="0" applyFont="1" applyFill="1" applyBorder="1" applyAlignment="1">
      <alignment horizontal="center" vertical="center" wrapText="1"/>
    </xf>
    <xf numFmtId="0" fontId="10" fillId="2" borderId="18" xfId="0" applyFont="1" applyFill="1" applyBorder="1" applyAlignment="1">
      <alignment horizontal="center" vertical="center"/>
    </xf>
    <xf numFmtId="0" fontId="10" fillId="2" borderId="20" xfId="0" applyFont="1" applyFill="1" applyBorder="1" applyAlignment="1">
      <alignment horizontal="center" vertical="center" wrapText="1"/>
    </xf>
    <xf numFmtId="0" fontId="10" fillId="2" borderId="21" xfId="0" applyFont="1" applyFill="1" applyBorder="1" applyAlignment="1">
      <alignment horizontal="center" vertical="center" wrapText="1"/>
    </xf>
    <xf numFmtId="0" fontId="10" fillId="2" borderId="106" xfId="0" applyFont="1" applyFill="1" applyBorder="1" applyAlignment="1">
      <alignment horizontal="center" vertical="center" wrapText="1"/>
    </xf>
    <xf numFmtId="0" fontId="18" fillId="0" borderId="0" xfId="0" applyFont="1" applyAlignment="1">
      <alignment horizontal="center"/>
    </xf>
    <xf numFmtId="0" fontId="9" fillId="0" borderId="19" xfId="0" applyFont="1" applyBorder="1" applyAlignment="1">
      <alignment horizontal="left"/>
    </xf>
    <xf numFmtId="0" fontId="9" fillId="0" borderId="8" xfId="0" applyFont="1" applyBorder="1" applyAlignment="1">
      <alignment horizontal="center"/>
    </xf>
    <xf numFmtId="0" fontId="10" fillId="2" borderId="99" xfId="0" applyFont="1" applyFill="1" applyBorder="1" applyAlignment="1">
      <alignment horizontal="center" vertical="center" wrapText="1"/>
    </xf>
    <xf numFmtId="0" fontId="10" fillId="2" borderId="100" xfId="0" applyFont="1" applyFill="1" applyBorder="1" applyAlignment="1">
      <alignment horizontal="center" vertical="center"/>
    </xf>
    <xf numFmtId="0" fontId="10" fillId="2" borderId="21" xfId="0" applyFont="1" applyFill="1" applyBorder="1" applyAlignment="1">
      <alignment horizontal="center" vertical="center"/>
    </xf>
    <xf numFmtId="0" fontId="34" fillId="0" borderId="0" xfId="10" applyFont="1" applyAlignment="1">
      <alignment horizontal="left"/>
    </xf>
    <xf numFmtId="0" fontId="33" fillId="0" borderId="0" xfId="10"/>
    <xf numFmtId="0" fontId="16" fillId="0" borderId="0" xfId="10" applyFont="1" applyAlignment="1">
      <alignment horizontal="left"/>
    </xf>
    <xf numFmtId="0" fontId="16" fillId="0" borderId="0" xfId="10" applyFont="1"/>
    <xf numFmtId="0" fontId="35" fillId="0" borderId="0" xfId="10" applyFont="1" applyAlignment="1">
      <alignment horizontal="left"/>
    </xf>
    <xf numFmtId="0" fontId="17" fillId="0" borderId="0" xfId="10" applyFont="1"/>
    <xf numFmtId="0" fontId="18" fillId="0" borderId="0" xfId="10" applyFont="1" applyAlignment="1">
      <alignment horizontal="center"/>
    </xf>
    <xf numFmtId="0" fontId="19" fillId="0" borderId="0" xfId="10" applyFont="1"/>
    <xf numFmtId="0" fontId="19" fillId="0" borderId="0" xfId="10" applyFont="1" applyAlignment="1">
      <alignment horizontal="center"/>
    </xf>
    <xf numFmtId="0" fontId="10" fillId="9" borderId="24" xfId="10" applyFont="1" applyFill="1" applyBorder="1" applyAlignment="1">
      <alignment horizontal="center" vertical="center" wrapText="1"/>
    </xf>
    <xf numFmtId="0" fontId="20" fillId="2" borderId="24" xfId="10" applyFont="1" applyFill="1" applyBorder="1"/>
    <xf numFmtId="0" fontId="10" fillId="2" borderId="13" xfId="10" applyFont="1" applyFill="1" applyBorder="1" applyAlignment="1">
      <alignment horizontal="center"/>
    </xf>
    <xf numFmtId="0" fontId="10" fillId="2" borderId="12" xfId="10" applyFont="1" applyFill="1" applyBorder="1" applyAlignment="1">
      <alignment horizontal="center"/>
    </xf>
    <xf numFmtId="0" fontId="10" fillId="2" borderId="95" xfId="10" applyFont="1" applyFill="1" applyBorder="1" applyAlignment="1">
      <alignment horizontal="center"/>
    </xf>
    <xf numFmtId="167" fontId="10" fillId="13" borderId="39" xfId="10" applyNumberFormat="1" applyFont="1" applyFill="1" applyBorder="1" applyAlignment="1">
      <alignment horizontal="center" vertical="center"/>
    </xf>
    <xf numFmtId="167" fontId="10" fillId="13" borderId="92" xfId="10" applyNumberFormat="1" applyFont="1" applyFill="1" applyBorder="1" applyAlignment="1">
      <alignment horizontal="center" vertical="center"/>
    </xf>
    <xf numFmtId="167" fontId="10" fillId="13" borderId="40" xfId="10" applyNumberFormat="1" applyFont="1" applyFill="1" applyBorder="1" applyAlignment="1">
      <alignment horizontal="center" vertical="center"/>
    </xf>
    <xf numFmtId="167" fontId="10" fillId="13" borderId="41" xfId="10" applyNumberFormat="1" applyFont="1" applyFill="1" applyBorder="1" applyAlignment="1">
      <alignment horizontal="center" vertical="center"/>
    </xf>
    <xf numFmtId="0" fontId="10" fillId="13" borderId="10" xfId="10" applyFont="1" applyFill="1" applyBorder="1" applyAlignment="1">
      <alignment horizontal="center" vertical="center"/>
    </xf>
    <xf numFmtId="0" fontId="10" fillId="13" borderId="19" xfId="10" applyFont="1" applyFill="1" applyBorder="1" applyAlignment="1">
      <alignment horizontal="center" vertical="center"/>
    </xf>
    <xf numFmtId="0" fontId="10" fillId="13" borderId="2" xfId="10" applyFont="1" applyFill="1" applyBorder="1" applyAlignment="1">
      <alignment horizontal="center" vertical="center"/>
    </xf>
    <xf numFmtId="0" fontId="21" fillId="0" borderId="42" xfId="10" applyFont="1" applyBorder="1" applyAlignment="1">
      <alignment horizontal="left" vertical="center"/>
    </xf>
    <xf numFmtId="0" fontId="21" fillId="0" borderId="93" xfId="10" applyFont="1" applyBorder="1" applyAlignment="1">
      <alignment horizontal="left" vertical="center"/>
    </xf>
    <xf numFmtId="0" fontId="21" fillId="0" borderId="43" xfId="10" applyFont="1" applyBorder="1" applyAlignment="1">
      <alignment horizontal="left" vertical="center"/>
    </xf>
    <xf numFmtId="0" fontId="21" fillId="0" borderId="5" xfId="10" applyFont="1" applyBorder="1" applyAlignment="1">
      <alignment horizontal="center"/>
    </xf>
    <xf numFmtId="0" fontId="21" fillId="0" borderId="44" xfId="10" applyFont="1" applyBorder="1" applyAlignment="1">
      <alignment horizontal="center"/>
    </xf>
    <xf numFmtId="0" fontId="21" fillId="0" borderId="50" xfId="10" applyFont="1" applyBorder="1" applyAlignment="1">
      <alignment horizontal="center"/>
    </xf>
    <xf numFmtId="0" fontId="21" fillId="0" borderId="51" xfId="10" applyFont="1" applyBorder="1" applyAlignment="1">
      <alignment horizontal="center"/>
    </xf>
    <xf numFmtId="0" fontId="21" fillId="0" borderId="19" xfId="10" applyFont="1" applyBorder="1" applyAlignment="1">
      <alignment horizontal="center"/>
    </xf>
    <xf numFmtId="0" fontId="21" fillId="0" borderId="2" xfId="10" applyFont="1" applyBorder="1" applyAlignment="1">
      <alignment horizontal="center"/>
    </xf>
    <xf numFmtId="0" fontId="21" fillId="0" borderId="1" xfId="10" applyFont="1" applyBorder="1" applyAlignment="1">
      <alignment horizontal="center"/>
    </xf>
    <xf numFmtId="0" fontId="21" fillId="0" borderId="94" xfId="10" applyFont="1" applyBorder="1" applyAlignment="1">
      <alignment horizontal="center"/>
    </xf>
    <xf numFmtId="0" fontId="10" fillId="9" borderId="23" xfId="10" applyFont="1" applyFill="1" applyBorder="1" applyAlignment="1">
      <alignment horizontal="center" vertical="center" wrapText="1"/>
    </xf>
    <xf numFmtId="0" fontId="20" fillId="2" borderId="15" xfId="10" applyFont="1" applyFill="1" applyBorder="1"/>
    <xf numFmtId="0" fontId="14" fillId="0" borderId="86" xfId="10" applyFont="1" applyBorder="1" applyAlignment="1">
      <alignment horizontal="center"/>
    </xf>
    <xf numFmtId="0" fontId="21" fillId="0" borderId="88" xfId="10" applyFont="1" applyBorder="1"/>
    <xf numFmtId="0" fontId="21" fillId="0" borderId="90" xfId="10" applyFont="1" applyBorder="1"/>
    <xf numFmtId="0" fontId="20" fillId="2" borderId="17" xfId="10" applyFont="1" applyFill="1" applyBorder="1"/>
    <xf numFmtId="0" fontId="10" fillId="9" borderId="4" xfId="10" applyFont="1" applyFill="1" applyBorder="1" applyAlignment="1">
      <alignment horizontal="center" vertical="center" wrapText="1"/>
    </xf>
    <xf numFmtId="0" fontId="10" fillId="9" borderId="7" xfId="10" applyFont="1" applyFill="1" applyBorder="1" applyAlignment="1">
      <alignment horizontal="center" vertical="center" wrapText="1"/>
    </xf>
    <xf numFmtId="0" fontId="10" fillId="9" borderId="24" xfId="10" applyFont="1" applyFill="1" applyBorder="1" applyAlignment="1">
      <alignment horizontal="center" vertical="center"/>
    </xf>
    <xf numFmtId="0" fontId="20" fillId="2" borderId="24" xfId="10" applyFont="1" applyFill="1" applyBorder="1" applyAlignment="1">
      <alignment horizontal="center" vertical="center"/>
    </xf>
    <xf numFmtId="0" fontId="20" fillId="2" borderId="45" xfId="10" applyFont="1" applyFill="1" applyBorder="1" applyAlignment="1">
      <alignment horizontal="center" vertical="center"/>
    </xf>
    <xf numFmtId="167" fontId="10" fillId="9" borderId="39" xfId="10" applyNumberFormat="1" applyFont="1" applyFill="1" applyBorder="1" applyAlignment="1">
      <alignment horizontal="center"/>
    </xf>
    <xf numFmtId="167" fontId="10" fillId="9" borderId="40" xfId="10" applyNumberFormat="1" applyFont="1" applyFill="1" applyBorder="1" applyAlignment="1">
      <alignment horizontal="center"/>
    </xf>
    <xf numFmtId="167" fontId="10" fillId="9" borderId="41" xfId="10" applyNumberFormat="1" applyFont="1" applyFill="1" applyBorder="1" applyAlignment="1">
      <alignment horizontal="center"/>
    </xf>
    <xf numFmtId="0" fontId="10" fillId="9" borderId="10" xfId="10" applyFont="1" applyFill="1" applyBorder="1" applyAlignment="1">
      <alignment horizontal="center"/>
    </xf>
    <xf numFmtId="0" fontId="10" fillId="9" borderId="19" xfId="10" applyFont="1" applyFill="1" applyBorder="1" applyAlignment="1">
      <alignment horizontal="center"/>
    </xf>
    <xf numFmtId="0" fontId="10" fillId="9" borderId="2" xfId="10" applyFont="1" applyFill="1" applyBorder="1" applyAlignment="1">
      <alignment horizontal="center"/>
    </xf>
    <xf numFmtId="0" fontId="20" fillId="2" borderId="25" xfId="10" applyFont="1" applyFill="1" applyBorder="1"/>
    <xf numFmtId="0" fontId="21" fillId="0" borderId="78" xfId="10" applyFont="1" applyBorder="1" applyAlignment="1">
      <alignment horizontal="center"/>
    </xf>
    <xf numFmtId="0" fontId="21" fillId="0" borderId="80" xfId="10" applyFont="1" applyBorder="1"/>
    <xf numFmtId="0" fontId="21" fillId="0" borderId="1" xfId="10" applyFont="1" applyBorder="1" applyAlignment="1">
      <alignment horizontal="left" vertical="center"/>
    </xf>
    <xf numFmtId="0" fontId="21" fillId="0" borderId="2" xfId="10" applyFont="1" applyBorder="1" applyAlignment="1">
      <alignment horizontal="left" vertical="center"/>
    </xf>
    <xf numFmtId="0" fontId="21" fillId="0" borderId="5" xfId="10" applyFont="1" applyBorder="1"/>
    <xf numFmtId="0" fontId="20" fillId="2" borderId="26" xfId="10" applyFont="1" applyFill="1" applyBorder="1"/>
    <xf numFmtId="0" fontId="7" fillId="0" borderId="0" xfId="0" applyFont="1" applyAlignment="1">
      <alignment horizontal="center" vertical="center"/>
    </xf>
    <xf numFmtId="0" fontId="4" fillId="0" borderId="0" xfId="0" applyFont="1" applyAlignment="1">
      <alignment horizontal="center" vertical="center"/>
    </xf>
    <xf numFmtId="0" fontId="10" fillId="7" borderId="1" xfId="0" applyFont="1" applyFill="1" applyBorder="1" applyAlignment="1">
      <alignment horizontal="center" vertical="center"/>
    </xf>
    <xf numFmtId="0" fontId="10" fillId="7" borderId="19" xfId="0" applyFont="1" applyFill="1" applyBorder="1" applyAlignment="1">
      <alignment horizontal="center" vertical="center"/>
    </xf>
    <xf numFmtId="0" fontId="10" fillId="7" borderId="9" xfId="0" applyFont="1" applyFill="1" applyBorder="1" applyAlignment="1">
      <alignment horizontal="center" vertical="center"/>
    </xf>
    <xf numFmtId="0" fontId="10" fillId="7" borderId="10" xfId="0" applyFont="1" applyFill="1" applyBorder="1" applyAlignment="1">
      <alignment horizontal="center" vertical="center"/>
    </xf>
    <xf numFmtId="0" fontId="10" fillId="7" borderId="2" xfId="0" applyFont="1" applyFill="1" applyBorder="1" applyAlignment="1">
      <alignment horizontal="center" vertical="center"/>
    </xf>
    <xf numFmtId="0" fontId="9" fillId="11" borderId="19" xfId="0" applyFont="1" applyFill="1" applyBorder="1" applyAlignment="1">
      <alignment horizontal="left" vertical="center"/>
    </xf>
    <xf numFmtId="0" fontId="9" fillId="0" borderId="19" xfId="0" applyFont="1" applyBorder="1" applyAlignment="1">
      <alignment horizontal="center" vertical="center"/>
    </xf>
    <xf numFmtId="0" fontId="10" fillId="2" borderId="70" xfId="0" applyFont="1" applyFill="1" applyBorder="1" applyAlignment="1">
      <alignment horizontal="center" vertical="center"/>
    </xf>
    <xf numFmtId="49" fontId="9" fillId="0" borderId="71" xfId="0" applyNumberFormat="1" applyFont="1" applyBorder="1" applyAlignment="1">
      <alignment horizontal="center" vertical="center"/>
    </xf>
    <xf numFmtId="49" fontId="9" fillId="0" borderId="72" xfId="0" applyNumberFormat="1" applyFont="1" applyBorder="1" applyAlignment="1">
      <alignment horizontal="center" vertical="center"/>
    </xf>
    <xf numFmtId="49" fontId="9" fillId="0" borderId="73" xfId="0" applyNumberFormat="1" applyFont="1" applyBorder="1" applyAlignment="1">
      <alignment horizontal="center" vertical="center"/>
    </xf>
    <xf numFmtId="49" fontId="9" fillId="0" borderId="75" xfId="0" applyNumberFormat="1" applyFont="1" applyBorder="1" applyAlignment="1">
      <alignment horizontal="center" vertical="center"/>
    </xf>
    <xf numFmtId="49" fontId="9" fillId="0" borderId="76" xfId="0" applyNumberFormat="1" applyFont="1" applyBorder="1" applyAlignment="1">
      <alignment horizontal="center" vertical="center"/>
    </xf>
    <xf numFmtId="49" fontId="9" fillId="0" borderId="77" xfId="0" applyNumberFormat="1" applyFont="1" applyBorder="1" applyAlignment="1">
      <alignment horizontal="center" vertical="center"/>
    </xf>
    <xf numFmtId="0" fontId="7" fillId="0" borderId="55" xfId="0" applyFont="1" applyBorder="1" applyAlignment="1">
      <alignment horizontal="center"/>
    </xf>
    <xf numFmtId="0" fontId="27" fillId="0" borderId="52" xfId="0" applyFont="1" applyBorder="1" applyAlignment="1">
      <alignment horizontal="center" vertical="center"/>
    </xf>
    <xf numFmtId="0" fontId="27" fillId="0" borderId="53" xfId="0" applyFont="1" applyBorder="1" applyAlignment="1">
      <alignment horizontal="center" vertical="center"/>
    </xf>
    <xf numFmtId="0" fontId="27" fillId="0" borderId="54" xfId="0" applyFont="1" applyBorder="1" applyAlignment="1">
      <alignment horizontal="center" vertical="center"/>
    </xf>
    <xf numFmtId="0" fontId="27" fillId="0" borderId="55" xfId="0" applyFont="1" applyBorder="1" applyAlignment="1">
      <alignment horizontal="center" vertical="center"/>
    </xf>
    <xf numFmtId="0" fontId="28" fillId="0" borderId="16" xfId="0" applyFont="1" applyBorder="1" applyAlignment="1">
      <alignment horizontal="center" vertical="center"/>
    </xf>
    <xf numFmtId="0" fontId="28" fillId="0" borderId="56" xfId="0" applyFont="1" applyBorder="1" applyAlignment="1">
      <alignment horizontal="center" vertical="center"/>
    </xf>
    <xf numFmtId="0" fontId="28" fillId="0" borderId="57" xfId="0" applyFont="1" applyBorder="1" applyAlignment="1">
      <alignment horizontal="center" vertical="center"/>
    </xf>
    <xf numFmtId="0" fontId="10" fillId="2" borderId="67" xfId="0" applyFont="1" applyFill="1" applyBorder="1" applyAlignment="1">
      <alignment horizontal="center" vertical="center"/>
    </xf>
    <xf numFmtId="0" fontId="10" fillId="2" borderId="68" xfId="0" applyFont="1" applyFill="1" applyBorder="1" applyAlignment="1">
      <alignment horizontal="center" vertical="center"/>
    </xf>
    <xf numFmtId="0" fontId="20" fillId="2" borderId="24" xfId="10" applyFont="1" applyFill="1" applyBorder="1" applyAlignment="1">
      <alignment vertical="center"/>
    </xf>
    <xf numFmtId="0" fontId="20" fillId="2" borderId="45" xfId="10" applyFont="1" applyFill="1" applyBorder="1" applyAlignment="1">
      <alignment vertical="center"/>
    </xf>
    <xf numFmtId="167" fontId="10" fillId="9" borderId="39" xfId="10" applyNumberFormat="1" applyFont="1" applyFill="1" applyBorder="1" applyAlignment="1">
      <alignment horizontal="center" vertical="center"/>
    </xf>
    <xf numFmtId="167" fontId="10" fillId="9" borderId="40" xfId="10" applyNumberFormat="1" applyFont="1" applyFill="1" applyBorder="1" applyAlignment="1">
      <alignment horizontal="center" vertical="center"/>
    </xf>
    <xf numFmtId="0" fontId="10" fillId="9" borderId="41" xfId="10" applyFont="1" applyFill="1" applyBorder="1" applyAlignment="1">
      <alignment horizontal="center" vertical="center"/>
    </xf>
    <xf numFmtId="0" fontId="10" fillId="9" borderId="10" xfId="10" applyFont="1" applyFill="1" applyBorder="1" applyAlignment="1">
      <alignment horizontal="center" vertical="center"/>
    </xf>
    <xf numFmtId="0" fontId="10" fillId="9" borderId="19" xfId="10" applyFont="1" applyFill="1" applyBorder="1" applyAlignment="1">
      <alignment horizontal="center" vertical="center"/>
    </xf>
    <xf numFmtId="0" fontId="10" fillId="9" borderId="2" xfId="10" applyFont="1" applyFill="1" applyBorder="1" applyAlignment="1">
      <alignment horizontal="center" vertical="center"/>
    </xf>
    <xf numFmtId="0" fontId="21" fillId="0" borderId="27" xfId="10" applyFont="1" applyBorder="1" applyAlignment="1">
      <alignment horizontal="center"/>
    </xf>
    <xf numFmtId="0" fontId="21" fillId="0" borderId="31" xfId="10" applyFont="1" applyBorder="1"/>
    <xf numFmtId="0" fontId="21" fillId="0" borderId="35" xfId="10" applyFont="1" applyBorder="1"/>
    <xf numFmtId="0" fontId="21" fillId="0" borderId="0" xfId="10" applyFont="1" applyAlignment="1">
      <alignment horizontal="left" vertical="top" wrapText="1"/>
    </xf>
    <xf numFmtId="0" fontId="7" fillId="0" borderId="0" xfId="0" applyFont="1" applyAlignment="1">
      <alignment horizontal="center" vertical="center" wrapText="1"/>
    </xf>
    <xf numFmtId="0" fontId="5" fillId="0" borderId="1" xfId="0" applyFont="1" applyBorder="1" applyAlignment="1">
      <alignment horizontal="left" vertical="center"/>
    </xf>
    <xf numFmtId="0" fontId="5" fillId="0" borderId="2" xfId="0" applyFont="1" applyBorder="1" applyAlignment="1">
      <alignment horizontal="left" vertical="center"/>
    </xf>
    <xf numFmtId="0" fontId="10" fillId="2" borderId="13" xfId="0" applyFont="1" applyFill="1" applyBorder="1" applyAlignment="1">
      <alignment horizontal="center"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20" xfId="0" applyFont="1" applyFill="1" applyBorder="1" applyAlignment="1">
      <alignment horizontal="center" vertical="center"/>
    </xf>
    <xf numFmtId="0" fontId="8" fillId="5" borderId="8" xfId="0" applyFont="1" applyFill="1" applyBorder="1" applyAlignment="1">
      <alignment horizontal="center" vertical="center"/>
    </xf>
    <xf numFmtId="0" fontId="8" fillId="6" borderId="8" xfId="0" applyFont="1" applyFill="1" applyBorder="1" applyAlignment="1">
      <alignment horizontal="center" vertical="center"/>
    </xf>
    <xf numFmtId="0" fontId="56" fillId="11" borderId="8" xfId="0" applyFont="1" applyFill="1" applyBorder="1" applyAlignment="1">
      <alignment horizontal="left" vertical="center" wrapText="1"/>
    </xf>
    <xf numFmtId="0" fontId="15" fillId="11" borderId="8" xfId="0" applyFont="1" applyFill="1" applyBorder="1" applyAlignment="1">
      <alignment horizontal="left" vertical="center" wrapText="1"/>
    </xf>
    <xf numFmtId="0" fontId="15" fillId="11" borderId="8" xfId="0" applyFont="1" applyFill="1" applyBorder="1" applyAlignment="1">
      <alignment horizontal="left" vertical="center" wrapText="1"/>
    </xf>
    <xf numFmtId="0" fontId="15" fillId="11" borderId="8" xfId="8" applyFont="1" applyFill="1" applyBorder="1" applyAlignment="1">
      <alignment horizontal="left" vertical="center" wrapText="1"/>
    </xf>
    <xf numFmtId="0" fontId="56" fillId="11" borderId="1" xfId="13" applyFont="1" applyFill="1" applyBorder="1" applyAlignment="1">
      <alignment horizontal="left" vertical="center" wrapText="1"/>
    </xf>
    <xf numFmtId="0" fontId="1" fillId="11" borderId="86" xfId="0" applyFont="1" applyFill="1" applyBorder="1" applyAlignment="1">
      <alignment horizontal="left" vertical="center" wrapText="1"/>
    </xf>
    <xf numFmtId="0" fontId="1" fillId="11" borderId="88" xfId="0" applyFont="1" applyFill="1" applyBorder="1" applyAlignment="1">
      <alignment horizontal="left" vertical="center" wrapText="1"/>
    </xf>
    <xf numFmtId="0" fontId="1" fillId="11" borderId="90" xfId="0" applyFont="1" applyFill="1" applyBorder="1" applyAlignment="1">
      <alignment horizontal="left" vertical="center" wrapText="1"/>
    </xf>
    <xf numFmtId="0" fontId="1" fillId="11" borderId="124" xfId="0" applyFont="1" applyFill="1" applyBorder="1" applyAlignment="1">
      <alignment horizontal="left" vertical="center" wrapText="1"/>
    </xf>
    <xf numFmtId="0" fontId="1" fillId="11" borderId="125" xfId="0" applyFont="1" applyFill="1" applyBorder="1" applyAlignment="1">
      <alignment horizontal="left" vertical="center" wrapText="1"/>
    </xf>
    <xf numFmtId="0" fontId="1" fillId="11" borderId="8" xfId="0" applyFont="1" applyFill="1" applyBorder="1" applyAlignment="1">
      <alignment horizontal="left" vertical="center" wrapText="1"/>
    </xf>
    <xf numFmtId="0" fontId="1" fillId="11" borderId="1" xfId="15" applyFont="1" applyFill="1" applyBorder="1" applyAlignment="1">
      <alignment horizontal="left" vertical="center" wrapText="1"/>
    </xf>
    <xf numFmtId="0" fontId="1" fillId="11" borderId="86" xfId="15" applyFont="1" applyFill="1" applyBorder="1" applyAlignment="1">
      <alignment horizontal="left" vertical="center" wrapText="1"/>
    </xf>
    <xf numFmtId="0" fontId="1" fillId="11" borderId="8" xfId="15" applyFont="1" applyFill="1" applyBorder="1" applyAlignment="1">
      <alignment horizontal="left" vertical="center" wrapText="1"/>
    </xf>
    <xf numFmtId="0" fontId="56" fillId="11" borderId="8" xfId="13" applyFont="1" applyFill="1" applyBorder="1" applyAlignment="1">
      <alignment horizontal="left" vertical="center" wrapText="1"/>
    </xf>
    <xf numFmtId="0" fontId="56" fillId="11" borderId="86" xfId="13" applyFont="1" applyFill="1" applyBorder="1" applyAlignment="1">
      <alignment horizontal="left" vertical="center" wrapText="1"/>
    </xf>
    <xf numFmtId="0" fontId="56" fillId="11" borderId="90" xfId="13" applyFont="1" applyFill="1" applyBorder="1" applyAlignment="1">
      <alignment horizontal="left" vertical="center" wrapText="1"/>
    </xf>
    <xf numFmtId="0" fontId="56" fillId="11" borderId="8" xfId="13" applyFont="1" applyFill="1" applyBorder="1" applyAlignment="1">
      <alignment horizontal="left" vertical="center" wrapText="1"/>
    </xf>
    <xf numFmtId="0" fontId="15" fillId="11" borderId="8" xfId="14" applyFont="1" applyFill="1" applyBorder="1" applyAlignment="1">
      <alignment horizontal="left" vertical="center" wrapText="1"/>
    </xf>
    <xf numFmtId="0" fontId="62" fillId="16" borderId="88" xfId="0" applyFont="1" applyFill="1" applyBorder="1" applyAlignment="1">
      <alignment horizontal="center" vertical="center" wrapText="1"/>
    </xf>
    <xf numFmtId="0" fontId="0" fillId="0" borderId="8" xfId="0" applyBorder="1" applyAlignment="1">
      <alignment horizontal="left" vertical="top" wrapText="1"/>
    </xf>
    <xf numFmtId="0" fontId="0" fillId="0" borderId="8" xfId="0" applyBorder="1" applyAlignment="1">
      <alignment wrapText="1"/>
    </xf>
    <xf numFmtId="49" fontId="2" fillId="0" borderId="88" xfId="0" applyNumberFormat="1" applyFont="1" applyFill="1" applyBorder="1" applyAlignment="1">
      <alignment horizontal="center" vertical="center" wrapText="1"/>
    </xf>
    <xf numFmtId="49" fontId="2" fillId="0" borderId="90" xfId="0" applyNumberFormat="1" applyFont="1" applyFill="1" applyBorder="1" applyAlignment="1">
      <alignment horizontal="center" vertical="center" wrapText="1"/>
    </xf>
    <xf numFmtId="14" fontId="15" fillId="0" borderId="8" xfId="0" applyNumberFormat="1" applyFont="1" applyFill="1" applyBorder="1" applyAlignment="1">
      <alignment horizontal="center" vertical="center"/>
    </xf>
    <xf numFmtId="14" fontId="15" fillId="0" borderId="86" xfId="0" applyNumberFormat="1" applyFont="1" applyFill="1" applyBorder="1" applyAlignment="1">
      <alignment horizontal="center" vertical="center"/>
    </xf>
    <xf numFmtId="14" fontId="15" fillId="0" borderId="90" xfId="0" applyNumberFormat="1" applyFont="1" applyFill="1" applyBorder="1" applyAlignment="1">
      <alignment horizontal="center" vertical="center"/>
    </xf>
    <xf numFmtId="49" fontId="15" fillId="0" borderId="86" xfId="0" applyNumberFormat="1" applyFont="1" applyFill="1" applyBorder="1" applyAlignment="1">
      <alignment horizontal="center" vertical="center" wrapText="1"/>
    </xf>
    <xf numFmtId="49" fontId="15" fillId="0" borderId="90" xfId="0" applyNumberFormat="1" applyFont="1" applyFill="1" applyBorder="1" applyAlignment="1">
      <alignment horizontal="center" vertical="center" wrapText="1"/>
    </xf>
    <xf numFmtId="14" fontId="56" fillId="0" borderId="86" xfId="0" applyNumberFormat="1" applyFont="1" applyFill="1" applyBorder="1" applyAlignment="1">
      <alignment horizontal="center" vertical="center"/>
    </xf>
    <xf numFmtId="14" fontId="56" fillId="0" borderId="88" xfId="0" applyNumberFormat="1" applyFont="1" applyFill="1" applyBorder="1" applyAlignment="1">
      <alignment horizontal="center" vertical="center"/>
    </xf>
    <xf numFmtId="14" fontId="56" fillId="0" borderId="90" xfId="0" applyNumberFormat="1" applyFont="1" applyFill="1" applyBorder="1" applyAlignment="1">
      <alignment horizontal="center" vertical="center"/>
    </xf>
    <xf numFmtId="14" fontId="15" fillId="0" borderId="88" xfId="0" applyNumberFormat="1" applyFont="1" applyFill="1" applyBorder="1" applyAlignment="1">
      <alignment horizontal="center" vertical="center"/>
    </xf>
    <xf numFmtId="14" fontId="1" fillId="0" borderId="8" xfId="0" applyNumberFormat="1" applyFont="1" applyFill="1" applyBorder="1" applyAlignment="1">
      <alignment horizontal="center" vertical="center" wrapText="1"/>
    </xf>
    <xf numFmtId="14" fontId="1" fillId="0" borderId="86" xfId="0" applyNumberFormat="1" applyFont="1" applyFill="1" applyBorder="1" applyAlignment="1">
      <alignment horizontal="center" vertical="center" wrapText="1"/>
    </xf>
    <xf numFmtId="14" fontId="1" fillId="0" borderId="88" xfId="0" applyNumberFormat="1" applyFont="1" applyFill="1" applyBorder="1" applyAlignment="1">
      <alignment horizontal="center" vertical="center" wrapText="1"/>
    </xf>
    <xf numFmtId="14" fontId="1" fillId="0" borderId="90" xfId="0" applyNumberFormat="1" applyFont="1" applyFill="1" applyBorder="1" applyAlignment="1">
      <alignment horizontal="center" vertical="center" wrapText="1"/>
    </xf>
    <xf numFmtId="14" fontId="1" fillId="0" borderId="86" xfId="0" applyNumberFormat="1" applyFont="1" applyFill="1" applyBorder="1" applyAlignment="1">
      <alignment horizontal="center" vertical="center"/>
    </xf>
    <xf numFmtId="14" fontId="1" fillId="0" borderId="90" xfId="0" applyNumberFormat="1" applyFont="1" applyFill="1" applyBorder="1" applyAlignment="1">
      <alignment horizontal="center" vertical="center"/>
    </xf>
    <xf numFmtId="14" fontId="1" fillId="0" borderId="86" xfId="0" applyNumberFormat="1" applyFont="1" applyBorder="1" applyAlignment="1">
      <alignment horizontal="center" vertical="center" wrapText="1"/>
    </xf>
    <xf numFmtId="14" fontId="1" fillId="0" borderId="88" xfId="0" applyNumberFormat="1" applyFont="1" applyBorder="1" applyAlignment="1">
      <alignment horizontal="center" vertical="center" wrapText="1"/>
    </xf>
    <xf numFmtId="14" fontId="1" fillId="0" borderId="90" xfId="0" applyNumberFormat="1" applyFont="1" applyBorder="1" applyAlignment="1">
      <alignment horizontal="center" vertical="center" wrapText="1"/>
    </xf>
    <xf numFmtId="14" fontId="1" fillId="0" borderId="8" xfId="0" applyNumberFormat="1" applyFont="1" applyBorder="1" applyAlignment="1">
      <alignment horizontal="center" vertical="center" wrapText="1"/>
    </xf>
  </cellXfs>
  <cellStyles count="16">
    <cellStyle name="Hipervínculo 2" xfId="3" xr:uid="{00000000-0005-0000-0000-000000000000}"/>
    <cellStyle name="Millares" xfId="1" builtinId="3"/>
    <cellStyle name="Millares 2" xfId="4" xr:uid="{00000000-0005-0000-0000-000002000000}"/>
    <cellStyle name="Millares 3" xfId="5" xr:uid="{00000000-0005-0000-0000-000003000000}"/>
    <cellStyle name="Millares 4" xfId="6" xr:uid="{00000000-0005-0000-0000-000004000000}"/>
    <cellStyle name="Normal" xfId="0" builtinId="0"/>
    <cellStyle name="Normal 2" xfId="7" xr:uid="{00000000-0005-0000-0000-000006000000}"/>
    <cellStyle name="Normal 2 10" xfId="8" xr:uid="{00000000-0005-0000-0000-000007000000}"/>
    <cellStyle name="Normal 2 2" xfId="9" xr:uid="{00000000-0005-0000-0000-000008000000}"/>
    <cellStyle name="Normal 3" xfId="10" xr:uid="{00000000-0005-0000-0000-000009000000}"/>
    <cellStyle name="Normal 4" xfId="14" xr:uid="{00000000-0005-0000-0000-00000A000000}"/>
    <cellStyle name="Normal 5" xfId="13" xr:uid="{00000000-0005-0000-0000-00000B000000}"/>
    <cellStyle name="Normal 5 2" xfId="15" xr:uid="{00000000-0005-0000-0000-00000C000000}"/>
    <cellStyle name="Normal 6" xfId="12" xr:uid="{00000000-0005-0000-0000-00000D000000}"/>
    <cellStyle name="Porcentaje" xfId="2" builtinId="5"/>
    <cellStyle name="Porcentaje 2" xfId="11" xr:uid="{00000000-0005-0000-0000-00000F000000}"/>
  </cellStyles>
  <dxfs count="0"/>
  <tableStyles count="0" defaultTableStyle="TableStyleMedium2" defaultPivotStyle="PivotStyleLight16"/>
  <colors>
    <mruColors>
      <color rgb="FF046997"/>
      <color rgb="FF003B61"/>
      <color rgb="FF5E929F"/>
      <color rgb="FF305165"/>
      <color rgb="FFD1E4F7"/>
      <color rgb="FF005187"/>
      <color rgb="FF142157"/>
      <color rgb="FFB8D5F2"/>
      <color rgb="FFC7DEF5"/>
      <color rgb="FF85B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9.xml"/><Relationship Id="rId21" Type="http://schemas.openxmlformats.org/officeDocument/2006/relationships/externalLink" Target="externalLinks/externalLink3.xml"/><Relationship Id="rId42" Type="http://schemas.openxmlformats.org/officeDocument/2006/relationships/externalLink" Target="externalLinks/externalLink24.xml"/><Relationship Id="rId63" Type="http://schemas.openxmlformats.org/officeDocument/2006/relationships/externalLink" Target="externalLinks/externalLink45.xml"/><Relationship Id="rId84" Type="http://schemas.openxmlformats.org/officeDocument/2006/relationships/externalLink" Target="externalLinks/externalLink66.xml"/><Relationship Id="rId16" Type="http://schemas.openxmlformats.org/officeDocument/2006/relationships/worksheet" Target="worksheets/sheet16.xml"/><Relationship Id="rId107" Type="http://schemas.openxmlformats.org/officeDocument/2006/relationships/externalLink" Target="externalLinks/externalLink89.xml"/><Relationship Id="rId11" Type="http://schemas.openxmlformats.org/officeDocument/2006/relationships/worksheet" Target="worksheets/sheet11.xml"/><Relationship Id="rId32" Type="http://schemas.openxmlformats.org/officeDocument/2006/relationships/externalLink" Target="externalLinks/externalLink14.xml"/><Relationship Id="rId37" Type="http://schemas.openxmlformats.org/officeDocument/2006/relationships/externalLink" Target="externalLinks/externalLink19.xml"/><Relationship Id="rId53" Type="http://schemas.openxmlformats.org/officeDocument/2006/relationships/externalLink" Target="externalLinks/externalLink35.xml"/><Relationship Id="rId58" Type="http://schemas.openxmlformats.org/officeDocument/2006/relationships/externalLink" Target="externalLinks/externalLink40.xml"/><Relationship Id="rId74" Type="http://schemas.openxmlformats.org/officeDocument/2006/relationships/externalLink" Target="externalLinks/externalLink56.xml"/><Relationship Id="rId79" Type="http://schemas.openxmlformats.org/officeDocument/2006/relationships/externalLink" Target="externalLinks/externalLink61.xml"/><Relationship Id="rId102" Type="http://schemas.openxmlformats.org/officeDocument/2006/relationships/externalLink" Target="externalLinks/externalLink84.xml"/><Relationship Id="rId123" Type="http://schemas.openxmlformats.org/officeDocument/2006/relationships/externalLink" Target="externalLinks/externalLink105.xml"/><Relationship Id="rId128" Type="http://schemas.openxmlformats.org/officeDocument/2006/relationships/externalLink" Target="externalLinks/externalLink110.xml"/><Relationship Id="rId5" Type="http://schemas.openxmlformats.org/officeDocument/2006/relationships/worksheet" Target="worksheets/sheet5.xml"/><Relationship Id="rId90" Type="http://schemas.openxmlformats.org/officeDocument/2006/relationships/externalLink" Target="externalLinks/externalLink72.xml"/><Relationship Id="rId95" Type="http://schemas.openxmlformats.org/officeDocument/2006/relationships/externalLink" Target="externalLinks/externalLink77.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43" Type="http://schemas.openxmlformats.org/officeDocument/2006/relationships/externalLink" Target="externalLinks/externalLink25.xml"/><Relationship Id="rId48" Type="http://schemas.openxmlformats.org/officeDocument/2006/relationships/externalLink" Target="externalLinks/externalLink30.xml"/><Relationship Id="rId64" Type="http://schemas.openxmlformats.org/officeDocument/2006/relationships/externalLink" Target="externalLinks/externalLink46.xml"/><Relationship Id="rId69" Type="http://schemas.openxmlformats.org/officeDocument/2006/relationships/externalLink" Target="externalLinks/externalLink51.xml"/><Relationship Id="rId113" Type="http://schemas.openxmlformats.org/officeDocument/2006/relationships/externalLink" Target="externalLinks/externalLink95.xml"/><Relationship Id="rId118" Type="http://schemas.openxmlformats.org/officeDocument/2006/relationships/externalLink" Target="externalLinks/externalLink100.xml"/><Relationship Id="rId134" Type="http://schemas.openxmlformats.org/officeDocument/2006/relationships/styles" Target="styles.xml"/><Relationship Id="rId80" Type="http://schemas.openxmlformats.org/officeDocument/2006/relationships/externalLink" Target="externalLinks/externalLink62.xml"/><Relationship Id="rId85" Type="http://schemas.openxmlformats.org/officeDocument/2006/relationships/externalLink" Target="externalLinks/externalLink6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15.xml"/><Relationship Id="rId38" Type="http://schemas.openxmlformats.org/officeDocument/2006/relationships/externalLink" Target="externalLinks/externalLink20.xml"/><Relationship Id="rId59" Type="http://schemas.openxmlformats.org/officeDocument/2006/relationships/externalLink" Target="externalLinks/externalLink41.xml"/><Relationship Id="rId103" Type="http://schemas.openxmlformats.org/officeDocument/2006/relationships/externalLink" Target="externalLinks/externalLink85.xml"/><Relationship Id="rId108" Type="http://schemas.openxmlformats.org/officeDocument/2006/relationships/externalLink" Target="externalLinks/externalLink90.xml"/><Relationship Id="rId124" Type="http://schemas.openxmlformats.org/officeDocument/2006/relationships/externalLink" Target="externalLinks/externalLink106.xml"/><Relationship Id="rId129" Type="http://schemas.openxmlformats.org/officeDocument/2006/relationships/externalLink" Target="externalLinks/externalLink111.xml"/><Relationship Id="rId54" Type="http://schemas.openxmlformats.org/officeDocument/2006/relationships/externalLink" Target="externalLinks/externalLink36.xml"/><Relationship Id="rId70" Type="http://schemas.openxmlformats.org/officeDocument/2006/relationships/externalLink" Target="externalLinks/externalLink52.xml"/><Relationship Id="rId75" Type="http://schemas.openxmlformats.org/officeDocument/2006/relationships/externalLink" Target="externalLinks/externalLink57.xml"/><Relationship Id="rId91" Type="http://schemas.openxmlformats.org/officeDocument/2006/relationships/externalLink" Target="externalLinks/externalLink73.xml"/><Relationship Id="rId96" Type="http://schemas.openxmlformats.org/officeDocument/2006/relationships/externalLink" Target="externalLinks/externalLink78.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49" Type="http://schemas.openxmlformats.org/officeDocument/2006/relationships/externalLink" Target="externalLinks/externalLink31.xml"/><Relationship Id="rId114" Type="http://schemas.openxmlformats.org/officeDocument/2006/relationships/externalLink" Target="externalLinks/externalLink96.xml"/><Relationship Id="rId119" Type="http://schemas.openxmlformats.org/officeDocument/2006/relationships/externalLink" Target="externalLinks/externalLink101.xml"/><Relationship Id="rId44" Type="http://schemas.openxmlformats.org/officeDocument/2006/relationships/externalLink" Target="externalLinks/externalLink26.xml"/><Relationship Id="rId60" Type="http://schemas.openxmlformats.org/officeDocument/2006/relationships/externalLink" Target="externalLinks/externalLink42.xml"/><Relationship Id="rId65" Type="http://schemas.openxmlformats.org/officeDocument/2006/relationships/externalLink" Target="externalLinks/externalLink47.xml"/><Relationship Id="rId81" Type="http://schemas.openxmlformats.org/officeDocument/2006/relationships/externalLink" Target="externalLinks/externalLink63.xml"/><Relationship Id="rId86" Type="http://schemas.openxmlformats.org/officeDocument/2006/relationships/externalLink" Target="externalLinks/externalLink68.xml"/><Relationship Id="rId130" Type="http://schemas.openxmlformats.org/officeDocument/2006/relationships/externalLink" Target="externalLinks/externalLink112.xml"/><Relationship Id="rId135"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1.xml"/><Relationship Id="rId109" Type="http://schemas.openxmlformats.org/officeDocument/2006/relationships/externalLink" Target="externalLinks/externalLink91.xml"/><Relationship Id="rId34" Type="http://schemas.openxmlformats.org/officeDocument/2006/relationships/externalLink" Target="externalLinks/externalLink16.xml"/><Relationship Id="rId50" Type="http://schemas.openxmlformats.org/officeDocument/2006/relationships/externalLink" Target="externalLinks/externalLink32.xml"/><Relationship Id="rId55" Type="http://schemas.openxmlformats.org/officeDocument/2006/relationships/externalLink" Target="externalLinks/externalLink37.xml"/><Relationship Id="rId76" Type="http://schemas.openxmlformats.org/officeDocument/2006/relationships/externalLink" Target="externalLinks/externalLink58.xml"/><Relationship Id="rId97" Type="http://schemas.openxmlformats.org/officeDocument/2006/relationships/externalLink" Target="externalLinks/externalLink79.xml"/><Relationship Id="rId104" Type="http://schemas.openxmlformats.org/officeDocument/2006/relationships/externalLink" Target="externalLinks/externalLink86.xml"/><Relationship Id="rId120" Type="http://schemas.openxmlformats.org/officeDocument/2006/relationships/externalLink" Target="externalLinks/externalLink102.xml"/><Relationship Id="rId125" Type="http://schemas.openxmlformats.org/officeDocument/2006/relationships/externalLink" Target="externalLinks/externalLink107.xml"/><Relationship Id="rId7" Type="http://schemas.openxmlformats.org/officeDocument/2006/relationships/worksheet" Target="worksheets/sheet7.xml"/><Relationship Id="rId71" Type="http://schemas.openxmlformats.org/officeDocument/2006/relationships/externalLink" Target="externalLinks/externalLink53.xml"/><Relationship Id="rId92" Type="http://schemas.openxmlformats.org/officeDocument/2006/relationships/externalLink" Target="externalLinks/externalLink74.xml"/><Relationship Id="rId2" Type="http://schemas.openxmlformats.org/officeDocument/2006/relationships/worksheet" Target="worksheets/sheet2.xml"/><Relationship Id="rId29" Type="http://schemas.openxmlformats.org/officeDocument/2006/relationships/externalLink" Target="externalLinks/externalLink11.xml"/><Relationship Id="rId24" Type="http://schemas.openxmlformats.org/officeDocument/2006/relationships/externalLink" Target="externalLinks/externalLink6.xml"/><Relationship Id="rId40" Type="http://schemas.openxmlformats.org/officeDocument/2006/relationships/externalLink" Target="externalLinks/externalLink22.xml"/><Relationship Id="rId45" Type="http://schemas.openxmlformats.org/officeDocument/2006/relationships/externalLink" Target="externalLinks/externalLink27.xml"/><Relationship Id="rId66" Type="http://schemas.openxmlformats.org/officeDocument/2006/relationships/externalLink" Target="externalLinks/externalLink48.xml"/><Relationship Id="rId87" Type="http://schemas.openxmlformats.org/officeDocument/2006/relationships/externalLink" Target="externalLinks/externalLink69.xml"/><Relationship Id="rId110" Type="http://schemas.openxmlformats.org/officeDocument/2006/relationships/externalLink" Target="externalLinks/externalLink92.xml"/><Relationship Id="rId115" Type="http://schemas.openxmlformats.org/officeDocument/2006/relationships/externalLink" Target="externalLinks/externalLink97.xml"/><Relationship Id="rId131" Type="http://schemas.openxmlformats.org/officeDocument/2006/relationships/externalLink" Target="externalLinks/externalLink113.xml"/><Relationship Id="rId136" Type="http://schemas.openxmlformats.org/officeDocument/2006/relationships/calcChain" Target="calcChain.xml"/><Relationship Id="rId61" Type="http://schemas.openxmlformats.org/officeDocument/2006/relationships/externalLink" Target="externalLinks/externalLink43.xml"/><Relationship Id="rId82" Type="http://schemas.openxmlformats.org/officeDocument/2006/relationships/externalLink" Target="externalLinks/externalLink64.xml"/><Relationship Id="rId19" Type="http://schemas.openxmlformats.org/officeDocument/2006/relationships/externalLink" Target="externalLinks/externalLink1.xml"/><Relationship Id="rId14" Type="http://schemas.openxmlformats.org/officeDocument/2006/relationships/worksheet" Target="worksheets/sheet14.xml"/><Relationship Id="rId30" Type="http://schemas.openxmlformats.org/officeDocument/2006/relationships/externalLink" Target="externalLinks/externalLink12.xml"/><Relationship Id="rId35" Type="http://schemas.openxmlformats.org/officeDocument/2006/relationships/externalLink" Target="externalLinks/externalLink17.xml"/><Relationship Id="rId56" Type="http://schemas.openxmlformats.org/officeDocument/2006/relationships/externalLink" Target="externalLinks/externalLink38.xml"/><Relationship Id="rId77" Type="http://schemas.openxmlformats.org/officeDocument/2006/relationships/externalLink" Target="externalLinks/externalLink59.xml"/><Relationship Id="rId100" Type="http://schemas.openxmlformats.org/officeDocument/2006/relationships/externalLink" Target="externalLinks/externalLink82.xml"/><Relationship Id="rId105" Type="http://schemas.openxmlformats.org/officeDocument/2006/relationships/externalLink" Target="externalLinks/externalLink87.xml"/><Relationship Id="rId126" Type="http://schemas.openxmlformats.org/officeDocument/2006/relationships/externalLink" Target="externalLinks/externalLink108.xml"/><Relationship Id="rId8" Type="http://schemas.openxmlformats.org/officeDocument/2006/relationships/worksheet" Target="worksheets/sheet8.xml"/><Relationship Id="rId51" Type="http://schemas.openxmlformats.org/officeDocument/2006/relationships/externalLink" Target="externalLinks/externalLink33.xml"/><Relationship Id="rId72" Type="http://schemas.openxmlformats.org/officeDocument/2006/relationships/externalLink" Target="externalLinks/externalLink54.xml"/><Relationship Id="rId93" Type="http://schemas.openxmlformats.org/officeDocument/2006/relationships/externalLink" Target="externalLinks/externalLink75.xml"/><Relationship Id="rId98" Type="http://schemas.openxmlformats.org/officeDocument/2006/relationships/externalLink" Target="externalLinks/externalLink80.xml"/><Relationship Id="rId121" Type="http://schemas.openxmlformats.org/officeDocument/2006/relationships/externalLink" Target="externalLinks/externalLink103.xml"/><Relationship Id="rId3" Type="http://schemas.openxmlformats.org/officeDocument/2006/relationships/worksheet" Target="worksheets/sheet3.xml"/><Relationship Id="rId25" Type="http://schemas.openxmlformats.org/officeDocument/2006/relationships/externalLink" Target="externalLinks/externalLink7.xml"/><Relationship Id="rId46" Type="http://schemas.openxmlformats.org/officeDocument/2006/relationships/externalLink" Target="externalLinks/externalLink28.xml"/><Relationship Id="rId67" Type="http://schemas.openxmlformats.org/officeDocument/2006/relationships/externalLink" Target="externalLinks/externalLink49.xml"/><Relationship Id="rId116" Type="http://schemas.openxmlformats.org/officeDocument/2006/relationships/externalLink" Target="externalLinks/externalLink98.xml"/><Relationship Id="rId20" Type="http://schemas.openxmlformats.org/officeDocument/2006/relationships/externalLink" Target="externalLinks/externalLink2.xml"/><Relationship Id="rId41" Type="http://schemas.openxmlformats.org/officeDocument/2006/relationships/externalLink" Target="externalLinks/externalLink23.xml"/><Relationship Id="rId62" Type="http://schemas.openxmlformats.org/officeDocument/2006/relationships/externalLink" Target="externalLinks/externalLink44.xml"/><Relationship Id="rId83" Type="http://schemas.openxmlformats.org/officeDocument/2006/relationships/externalLink" Target="externalLinks/externalLink65.xml"/><Relationship Id="rId88" Type="http://schemas.openxmlformats.org/officeDocument/2006/relationships/externalLink" Target="externalLinks/externalLink70.xml"/><Relationship Id="rId111" Type="http://schemas.openxmlformats.org/officeDocument/2006/relationships/externalLink" Target="externalLinks/externalLink93.xml"/><Relationship Id="rId132" Type="http://schemas.openxmlformats.org/officeDocument/2006/relationships/externalLink" Target="externalLinks/externalLink114.xml"/><Relationship Id="rId15" Type="http://schemas.openxmlformats.org/officeDocument/2006/relationships/worksheet" Target="worksheets/sheet15.xml"/><Relationship Id="rId36" Type="http://schemas.openxmlformats.org/officeDocument/2006/relationships/externalLink" Target="externalLinks/externalLink18.xml"/><Relationship Id="rId57" Type="http://schemas.openxmlformats.org/officeDocument/2006/relationships/externalLink" Target="externalLinks/externalLink39.xml"/><Relationship Id="rId106" Type="http://schemas.openxmlformats.org/officeDocument/2006/relationships/externalLink" Target="externalLinks/externalLink88.xml"/><Relationship Id="rId127" Type="http://schemas.openxmlformats.org/officeDocument/2006/relationships/externalLink" Target="externalLinks/externalLink109.xml"/><Relationship Id="rId10" Type="http://schemas.openxmlformats.org/officeDocument/2006/relationships/worksheet" Target="worksheets/sheet10.xml"/><Relationship Id="rId31" Type="http://schemas.openxmlformats.org/officeDocument/2006/relationships/externalLink" Target="externalLinks/externalLink13.xml"/><Relationship Id="rId52" Type="http://schemas.openxmlformats.org/officeDocument/2006/relationships/externalLink" Target="externalLinks/externalLink34.xml"/><Relationship Id="rId73" Type="http://schemas.openxmlformats.org/officeDocument/2006/relationships/externalLink" Target="externalLinks/externalLink55.xml"/><Relationship Id="rId78" Type="http://schemas.openxmlformats.org/officeDocument/2006/relationships/externalLink" Target="externalLinks/externalLink60.xml"/><Relationship Id="rId94" Type="http://schemas.openxmlformats.org/officeDocument/2006/relationships/externalLink" Target="externalLinks/externalLink76.xml"/><Relationship Id="rId99" Type="http://schemas.openxmlformats.org/officeDocument/2006/relationships/externalLink" Target="externalLinks/externalLink81.xml"/><Relationship Id="rId101" Type="http://schemas.openxmlformats.org/officeDocument/2006/relationships/externalLink" Target="externalLinks/externalLink83.xml"/><Relationship Id="rId122" Type="http://schemas.openxmlformats.org/officeDocument/2006/relationships/externalLink" Target="externalLinks/externalLink104.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8.xml"/><Relationship Id="rId47" Type="http://schemas.openxmlformats.org/officeDocument/2006/relationships/externalLink" Target="externalLinks/externalLink29.xml"/><Relationship Id="rId68" Type="http://schemas.openxmlformats.org/officeDocument/2006/relationships/externalLink" Target="externalLinks/externalLink50.xml"/><Relationship Id="rId89" Type="http://schemas.openxmlformats.org/officeDocument/2006/relationships/externalLink" Target="externalLinks/externalLink71.xml"/><Relationship Id="rId112" Type="http://schemas.openxmlformats.org/officeDocument/2006/relationships/externalLink" Target="externalLinks/externalLink94.xml"/><Relationship Id="rId133"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ATA/RL/BOL/Sectors/BOP/Monthly%20financin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DELO%20MACRO%20FISCAL/GRAFICOS%20DEL%20DOCUMENTO%20MMFMP.xlsx"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file:///F:\Documents%20and%20Settings\Mparada_2\Configuraci&#243;n%20local\Archivos%20temporales%20de%20Internet\Content.IE5\WZOZARGR\Documents%20and%20Settings\Fmita\Configuraci&#243;n%20local\Archivos%20temporales%20de%20Internet\Content.IE5\YZSA74W5\Cotizacion%20de%20minerales.xls?F1D429FC" TargetMode="External"/><Relationship Id="rId1" Type="http://schemas.openxmlformats.org/officeDocument/2006/relationships/externalLinkPath" Target="file:///\\F1D429FC\Cotizacion%20de%20minerale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CSC/MEDICION/Gasoductos/Chaco/Campo.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DELO%20MACRO%20FISCAL/Modelo_UGPPP%2011-04-1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y%20Documents/MONITOREO/LET-M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Z:\Mis%20documentos\Mis%20Doc%20Incendio\Nueva%202003\Mis%20Documentos%20al%2019-02-03\Mis%20Documentos%20al%2019-02-03\CERT.97-02\cert97-02\CERT-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is%20documentos/Mis%20Doc%20Incendio/Nueva%202003/Mis%20Documentos%20al%2019-02-03/Mis%20Documentos%20al%2019-02-03/CERT.97-02/cert97-02/CERT-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nts%20and%20Settings/jlrivero/Escritorio/PRONOSTICOS%20MEGACAMPOS/-%20SUBSUELO/sagarnaga/IFC/IFC%20NOVIEMBRE%20(P5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ttp:\medios.economiayfinanzas.gob.bo\Documents%20and%20Settings\Jackelina%20Orellana\Escritorio\Jackelina%20O\Salarios\EJECUCIONES%201998-2007\Salarios%202007\15_Salarios_2006%20(Eje%20Sep%20RevNovII).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MSOFFICE\EXCEL\ARM\MONREV98.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ATA/UB/LVA/REP/SR99JUN/LVchart699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N/TEMP/weo%20extra%20vulnerabilty.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DOCS\BGR\1MIS9805\FIELD\MAC98EFF.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DATA\O1\BGR\REAL\DATA\O1\BGR\MON\PROJ\MONwork.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ocuments%20and%20Settings/sdodzin/My%20Local%20Documents/Croatia/Mission%20-%20May%202003/Final%20May%2021,%202003/WIN/Temporary%20Internet%20Files/OLK312/GeoBop-July6(July11)-circulated.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Startup" Target="Bgr/GEN/BG%20SINAWA.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ttp:\medios.economiayfinanzas.gob.bo\Documents%20and%20Settings\Lcastro\Escritorio\Jackelina\Salarios\Rev%20Enero%202005\1%20Salarios%202005%2006%2007%2008%20Eje%20Nov%2020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OC/UB/EST/98VISIT.MAY/SR/BOPMI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er\puenteloayza\Ingresos\ppto%202001\PAPE-200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ocuments%20and%20Settings/sdodzin/My%20Local%20Documents/Croatia/Mission%20-%20May%202003/Final%20May%2021,%202003/DATA/US/ARM/REP/97ARMRED/TABLES/EDSSARMRED9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ROFINAN/Programa/prog2003/prog2003mensualizaci&#243;nenero.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ompartir/DDDDDDDD/PDVSA%20CIERRE%20FINAL/CONCILIACION%20PDVSA%20(21-8-12%20+%20refacturacion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cscam02\finanzas-convenios%20energeticos\Documents%20and%20Settings\lacruzmn\Mis%20documentos\CONVENIMIENTOS\PETROPAR\Propuesta%20de%20Refinanciamiento%2002.09.09\Propuesta%20de%20Refinanciamiento%2002.09.09.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ocuments%20and%20Settings/sdodzin/My%20Local%20Documents/Croatia/Mission%20-%20May%202003/Final%20May%2021,%202003/Croatia/MNG_EX/BOP9703_stres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ocuments%20and%20Settings/sdodzin/My%20Local%20Documents/Croatia/Mission%20-%20May%202003/Final%20May%2021,%202003/DATA/OC/HIPC/e-files/e-files/Mozambique/BOP9703_stress.xls" TargetMode="External"/></Relationships>
</file>

<file path=xl/externalLinks/_rels/externalLink27.xml.rels><?xml version="1.0" encoding="UTF-8" standalone="yes"?>
<Relationships xmlns="http://schemas.openxmlformats.org/package/2006/relationships"><Relationship Id="rId2" Type="http://schemas.microsoft.com/office/2019/04/relationships/externalLinkLongPath" Target="/PROGRAMACION/2009/ingresos%20tributarios/ingresos%20tributarios%202009/escenarios%20hidrocarburos/PROGRAMACION/2009/ingresos%20tributarios/ingresos%20tributarios%202009/hidrocarburos/MHE/Documents%20and%20Settings/Achalup/Configuraci&#243;n%20lo?26D96B53" TargetMode="External"/><Relationship Id="rId1" Type="http://schemas.openxmlformats.org/officeDocument/2006/relationships/externalLinkPath" Target="file:///\\26D96B53\Configuraci&#243;n%20lo"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ocuments%20and%20Settings/DSIMARD/Local%20Settings/Temporary%20Internet%20Files/OLK7/DATA/O1/ALB/FIS/alfis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DATA/CA/SLV/Fiscal%20Sector/Output/Output%202003/Working%20files%202003/SLV-Fiscal-March%2012%202003.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J:\DATA\S1\ECU\SECTORS\External\PERUMF97.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Documents%20and%20Settings/CSANCAK/Local%20Settings/Temporary%20Internet%20Files/OLKF/HTI-BOP.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J:\DATA\S1\ECU\Current\ecubopLates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lujan\buzone\Mis%20documentos\PROD98\CERT-98.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gral-mzubieta\Mensual\_2005\Boletin%20Mensual\Bk%20Febrero_05%20(16_03)\REER10%20(base%201996).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Plujan\buzone\Mis%20documentos\Mis%20documentos\HISTORIAL\PROD98\CERT-98.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DOC-Z/C-ZEN&#211;N/GESTION%202008%20-%20HIDROCARBUROS/YPFB/Documents%20and%20Settings/Estadisticas/Escritorio/Propuesta%20DS%20y%20Ley%20Distribuci&#243;n%20IDH/Analisis%201689%20vs%203058.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Documents%20and%20Settings/Jackelina%20Orellana/Escritorio/Jackelina%20O/Salarios/EJECUCIONES%201998-2007/Salarios%202007/15_Salarios_2006%20(Eje%20Sep%20RevNovII).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DOC-Z/C-ZEN&#211;N/GESTION%202008%20-%20HIDROCARBUROS/YPFB/WINDOWS/TEMP/Ingresos/ppto%202001/PAPE-200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Documents%20and%20Settings/CSANCAK/Local%20Settings/Temporary%20Internet%20Files/OLKF/HTI_Mon.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ujan\buzone\Mis%20documentos\Prod99\MESES\JUL99.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pec-cgonzales\2003\Haiti\LxLM%20Haiti.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Plujan\buzone\Mis%20documentos\Mis%20documentos\HISTORIAL\PROD98\PROD98\SEP98.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Macroeconomia%20y%20FISCAL%2025-01-2011/SPNF%20mensual%20de%201990-2010/003.-%20TGN_DGPF-UPF/TGN05-08_DGPF_UPF.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WIN\TEMP\MFLOW96.XLS" TargetMode="External"/></Relationships>
</file>

<file path=xl/externalLinks/_rels/externalLink45.xml.rels><?xml version="1.0" encoding="UTF-8" standalone="yes"?>
<Relationships xmlns="http://schemas.openxmlformats.org/package/2006/relationships"><Relationship Id="rId2" Type="http://schemas.microsoft.com/office/2019/04/relationships/externalLinkLongPath" Target="/Documents%20and%20Settings/Mparada_2/Configuraci&#243;n%20local/Archivos%20temporales%20de%20Internet/Content.IE5/WZOZARGR/Documents%20and%20Settings/Fmita/Configuraci&#243;n%20local/Archivos%20temporales%20de%20Internet/Content.IE5/YZSA74W5/Cotizacion%20de%20minerales.xls?7898DC7B" TargetMode="External"/><Relationship Id="rId1" Type="http://schemas.openxmlformats.org/officeDocument/2006/relationships/externalLinkPath" Target="file:///\\7898DC7B\Cotizacion%20de%20minerales.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BOLNTAP03D\e&amp;d\Budgets%20&amp;%20Reports\Financial%20Reports\Chaco%20S.A\YEAR%202002\05%20GAAP%20FINANCIAL%20REPORTS\BREAK%20DOWN%20BAL%20SHEET%2012.20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L_HURTADO/2013/NoBo/resumen%20normas%20entidades.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COPIA%20WEB/hidrocarburos/Estadisticas/julio/Base%20Comercializacion%20Carburante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Documents%20and%20Settings/csaizar/Local%20Settings/Temporary%20Internet%20Files/OLK46/wrs218%20(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Documents%20and%20Settings/Estadisticas/Escritorio/Propuesta%20DS%20y%20Ley%20Distribuci&#243;n%20IDH/Analisis%201689%20vs%20305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Documents%20and%20Settings/bosq/Desktop/EMPRESAS%202005/AGOSTO/repsol.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Documents%20and%20Settings/csaizar/Local%20Settings/Temporary%20Internet%20Files/OLK46/wrs218.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DEYSI/Unidad%20D/PRES_MEFP/1_DATA_%20RAF/100_MCMMGG/Consistencia%20MACRO/08.02.11/PcMCForDist/PcMCsupple.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I:\DEYSI\Unidad%20D\PRES_MEFP\1_DATA_%20RAF\100_MCMMGG\Consistencia%20MACRO\08.02.11\PcMCForDist\PcMCsupp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F:\Documents%20and%20Settings\jlrivero\Escritorio\Shapes%202004\September%202004\Shapes%202004%20CON%20KANAT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Plujan\buzone\Mis%20documentos\Mis%20documentos\HISTORIAL\Mis%20documentos\HISTORIAL\HIS9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BOLNTAP03D\e&amp;d\PROYECTO-PQB\Modelo%20econ&#243;mico\PQB%20-%20Bolivia%20Final%20Version%20Chaco%2009.06.03.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Unc-10\presupuesto\Mis%20documentos\PRESUPUESTO\RECURSOS%20HUMANOS\PLANILLA%20PRESUPUESTARIA%2020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Users/santiago/Downloads/planilla-de-excel-para-el-aplicativo-de-compras-y-ventas.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IDH%202008/1%20Actual/Consulta2%20final%20julio.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DRAFTS/CN/COMM/Monthly/BROOKS.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cunaam\c\modelo\MODELOMACRO-ESC-4.5.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Documents%20and%20Settings/ogonzales/Configuraci&#243;n%20local/Archivos%20temporales%20de%20Internet/OLK3/PresupuestoVentasCompras2009%20V2%20FINAL%2008.10.08.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Ingresos/ppto%202001/PAPE-200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WINDOWS/TEMP/Ingresos/ppto%202001/PAPE-200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Programaci&#243;n%20Financiera/ASD/ASD%20FEB%202010%202DO%20Escenario.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DATA1\PDR\DATA\ML\DOM\Macro\2001\GEE_03290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Documents%20and%20Settings/Lcastro/Escritorio/Jackelina/Salarios/Rev%20Enero%202005/1%20Salarios%202005%2006%2007%2008%20Eje%20Nov%202004.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E:\Documents%20and%20Settings\sdodzin\My%20Local%20Documents\Bolivia\2005%20A4%20Mission\Framework\BOMACR-a.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Documents%20and%20Settings/nsheridan/Local%20Settings/Temporary%20Internet%20Files/OLK22/502ZambiaFiles%20-%20Tables%204-2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Upfsql\jackelina%2031\Jackelina%20O\Salarios\EJECUCIONES%201998-2007\Salarios%202007\1_Salarios_2006_Ej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Modelo%20e%20Deuda.xlsx"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Programaci&#243;n%20Financiera\ASD\ASD%20FEB%202010%202DO%20Escenario.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Dropbox/Techos%202013%20-%20UGPPP/PGE%202013/Macroeconomia%20y%20FISCAL%2025-01-2011/SPNF%20mensual%20de%201990-2010/003.-%20TGN_DGPF-UPF/TGN05-08_DGPF_UPF.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DATA/CA/SLV/Monetary%20Sector/Input/Info/PM99%20Jan%20FMI-2002.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P:\DATA\BP%20-%20CHACO.Bolivia\Analisis%20(para%20Dise&#241;os)\Simulaci&#243;n%20Alocacion%20-%20Tema%20Planta%20Dew%20Point\CHACOFIS01200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DATOS/MACROS/MIMPORTA.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J85ZZTJL/Imprenta.xlsx"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Documents%20and%20Settings/ldsanteliz/Configuraci&#243;n%20local/Archivos%20temporales%20de%20Internet/OLKE/WINDOWS/TEMP/FLU9901.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BOLNTAP03D\e&amp;d\Budgets%20&amp;%20Reports\Financial%20Reports\Chaco%20S.A\YEAR%202002\TRIALS\TRIALS%20-%20GAAP\TB%20GAAP%202002.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I_real%2010-07.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WINDOWS/TEMP/CRI-BOP-01.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Modelo%20e%20Deuda.xlsx"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2011/PDVSA%20Subvenci&#243;n%20de%20diesel%20o&#237;l%209-09-2011/Fernando%20Munguia/Copia%20de%20IEHD.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DATA/CA/CRI/EXTERNAL/Output/CRI-BOP-01.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ttp:\medios.economiayfinanzas.gob.bo\Documents%20and%20Settings\Jackelina%20Orellana\Escritorio\Jackelina%20O\Salarios\EJECUCIONES%201998-2007\Salarios%202007\1_Salarios_2006_Eje.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Ministerio%20de%20Hidrocarburos%202004/Planillas%20de%20Excel/Distribuci&#243;n%20de%20Gas%20por%20Redes%202003.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Documents%20and%20Settings/Marcelo%20Laura/Configuraci&#243;n%20local/Archivos%20temporales%20de%20Internet/Content.Outlook/KKZPDRSD/Copia%202%20MMF_Ministro_25012011_EQUIPO2.xlsx"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E:\denise1\Doc%20Ayuda%20Mem\exportaciones\EXP%202002%20PROY%209%20FORM3(denise).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ocuments%20and%20Settings\sdodzin\My%20Local%20Documents\Bolivia\2005%20A4%20Mission\Framework\garb%20-041405.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Jose%20Si&#241;ani/Escritorio/Reportes%20Mensuales/02_2011/DOC-Z/C-ZEN&#211;N/GESTION%202008%20-%20HIDROCARBUROS/YPFB/Documents%20and%20Settings/Estadisticas/Escritorio/Propuesta%20DS%20y%20Ley%20Distribuci&#243;n%20IDH/Analisis%201689%20vs%203058.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Users/Cristian%20Gonzales/AppData/Local/Microsoft/Windows/Temporary%20Internet%20Files/Content.Outlook/OH630TCO/2-ESTRUCTURA%20EBIH-2010-15%20funcionarios-%20FINAL%20(5).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WINNT/Profiles/bpweil/Archivos%20temporales%20de%20Internet/OLK43/CONSA%20$$$1%20SPNF%209dic02.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COPIA%20WEB/hidrocarburos/Estadisticas/Upstream/Reservas/Reservas%20Gas%20Natural%20Mundo%20D.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YQITH9S2/TC-INF-UFV(MM)_eje_2010%20(1).xlsx"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O:\My%20Documents\Dominican%20Republic\external\Dobop_sr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Documents%20and%20Settings/Yohasir%20Machaca/Configuraci&#243;n%20local/Archivos%20temporales%20de%20Internet/Content.Outlook/CBZNVFJO/Organismos%202013%2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DATA/CA/SLV/External%20Sector/Output/Working%20files%202003/Data/REER04-03.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Carola%20Yujra/2011/DOSSIER%20FISCAL%202010/DOSSIER%20FISCAL%20-%20FINAL%202011/Superavit%20Fiscal%202010.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Documents%20and%20Settings/Carola%20Yujra/Escritorio/DOSSIER%202009/Sector%20fiscal/Gr&#225;ficos_tablas%20%20Dossier%202008/Imprenta%20Cruadros.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Documents%20and%20Settings/Jackelina%20Orellana/Escritorio/Jackelina%20O/Salarios/EJECUCIONES%201998-2007/Salarios%202007/1_Salarios_2006_Eje.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Real2001/HTIreal.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Documents%20and%20Settings/mrandazzo/Desktop/Workingfiles-for-participants-14Feb-2003.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FPSGWN03P\WHD\DATA\RL\BOL\Sectors\Fiscal\BOFISC-now-baselin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J:\DATA\S1\ECU\SECTORS\External\ecuredtab.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R:\DOC\B2\CHIEF\CRI\97RED\CGOVFEB.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K:\Reingenieria%20250517\Reingenieria%20Financiera\Base%20Reingenenieria%20280417.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Mis%20Documentos%20POE/DVPS/2010/Base%20de%20C&#225;lculo%20V2.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I:\data\wrs\xl97\system\WRS97TAB.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DATA/CA/CRI/Dbase/Dinput/CRI-INPUT-ABOP.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CCSC/MEDICION/Gasoductos/Contratistas/Camp.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Documents%20and%20Settings/Mparada_2/Configuraci&#243;n%20local/Archivos%20temporales%20de%20Internet/Content.IE5/W92RWDA7/Weekly%20Tables.NEW2.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TRIMALEX/corrts99-2.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DATA1\PDR\DATA\ML\DOM\external\DRBO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utput PC- Ext"/>
      <sheetName val="INFO"/>
      <sheetName val="Output for fiscal"/>
      <sheetName val="Output PC 2004"/>
      <sheetName val="Output PC 2005"/>
      <sheetName val="Servicio"/>
      <sheetName val="Alivio"/>
      <sheetName val="Flu No Con 05 (Feb 2)"/>
      <sheetName val="Des Acr 04 (Feb 2)"/>
      <sheetName val="Des Deu 2005 (Feb 2)"/>
      <sheetName val="Des Acr 2005 (Feb 2)"/>
      <sheetName val="INPUT-MACRO"/>
      <sheetName val="INPUT--2004"/>
      <sheetName val="Indic 2004"/>
      <sheetName val="Flu No Con 04"/>
      <sheetName val="Monthly--2004"/>
      <sheetName val="Monthly--2005"/>
      <sheetName val="INPUT--2005"/>
      <sheetName val="Summary table"/>
      <sheetName val="Hoja1"/>
      <sheetName val="Program grants and loans"/>
      <sheetName val="Nonconcessional--gross and net"/>
      <sheetName val="NFPS--gross"/>
      <sheetName val="NFPS--net for fiscal"/>
      <sheetName val="Public Sector--gross"/>
      <sheetName val="FPS--gross"/>
      <sheetName val="Des Deu 2004-05"/>
      <sheetName val="Des Acr 2004-05"/>
      <sheetName val="Des Deu 2003,04,05-0ld"/>
      <sheetName val="Des Acr 2003,04,05-old"/>
      <sheetName val="Summary -04-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uana Azurduy"/>
      <sheetName val="Renta Dignidad"/>
      <sheetName val="Juancito Pinto"/>
      <sheetName val="Sistema Financiero"/>
      <sheetName val="Cobertura Export."/>
      <sheetName val="Cuadros BP"/>
      <sheetName val="Importaciones"/>
      <sheetName val="Exporta"/>
      <sheetName val="Sector Externo"/>
      <sheetName val="DEMANDA"/>
      <sheetName val="Hoja1"/>
      <sheetName val="PIB Bs1990"/>
      <sheetName val="Creci"/>
      <sheetName val="Consumo"/>
      <sheetName val="balanza de pagos2"/>
      <sheetName val="Balanza de Pagos"/>
      <sheetName val="Agre Mon"/>
      <sheetName val="BaseMone"/>
      <sheetName val="Deposito"/>
      <sheetName val="Comp depos"/>
      <sheetName val="Dep por bancos"/>
      <sheetName val="Dep Publico"/>
      <sheetName val="Tasa interes"/>
      <sheetName val="tasa inte real"/>
      <sheetName val="Hoja3"/>
      <sheetName val="DATOS"/>
      <sheetName val="Eventual y Consultores"/>
      <sheetName val="RESPALDO"/>
      <sheetName val="Gini"/>
      <sheetName val="TopALP+HilAlp+Tpu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28"/>
      <sheetName val="GRAF-4"/>
      <sheetName val="EG"/>
      <sheetName val="summary table"/>
      <sheetName val="a"/>
    </sheetNames>
    <sheetDataSet>
      <sheetData sheetId="0"/>
      <sheetData sheetId="1" refreshError="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C-TR-1"/>
      <sheetName val="CRC-TR-2"/>
      <sheetName val="VGD"/>
      <sheetName val="SRQ"/>
      <sheetName val="Crco-VHM"/>
      <sheetName val="VHM"/>
      <sheetName val="HSR"/>
      <sheetName val="Bulo_Bulo"/>
      <sheetName val="BATERIA"/>
      <sheetName val="STOCK-CRCO-VHERM"/>
      <sheetName val="SCADA-EFM"/>
      <sheetName val="Data-Logger"/>
      <sheetName val="Dif-EFM-Logger"/>
      <sheetName val="VGD-1"/>
      <sheetName val="VGD -2"/>
      <sheetName val="CRC-1"/>
      <sheetName val="CRC-2"/>
      <sheetName val="CRC-VHM"/>
      <sheetName val="VHM-CRC"/>
      <sheetName val="CONSTANTES"/>
    </sheetNames>
    <sheetDataSet>
      <sheetData sheetId="0" refreshError="1"/>
      <sheetData sheetId="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SectorReal 01"/>
      <sheetName val="Sector Real 02"/>
      <sheetName val="Sector Externo"/>
      <sheetName val="SectorMonetario"/>
      <sheetName val="Balanza de Pagos"/>
      <sheetName val="SectorFiscal"/>
      <sheetName val="Prog-2011"/>
      <sheetName val="PMF_Inversión"/>
      <sheetName val="Resumen YPFB"/>
      <sheetName val="base 2011-2015"/>
      <sheetName val="Techos (2)"/>
      <sheetName val="volumenes"/>
      <sheetName val="precios"/>
      <sheetName val="Ingresos"/>
      <sheetName val="Distribución (2)"/>
      <sheetName val="Parametos Macro"/>
      <sheetName val="Vol. UPF"/>
      <sheetName val="Precios 61.3"/>
      <sheetName val="Ingr"/>
      <sheetName val="Ingr Trans"/>
      <sheetName val="Distribución"/>
      <sheetName val="Techos"/>
      <sheetName val="Resumen IEHD"/>
      <sheetName val="Expor99-10"/>
      <sheetName val="Conceptos Vul. Fiscal"/>
      <sheetName val="2001-2011(e)(Vul. Fiscal)"/>
      <sheetName val="Gráfico1(IngSPNF)"/>
      <sheetName val="Gráfico2(Gasto SPNF)"/>
      <sheetName val="Gráfico3 (Deuda SPN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Program"/>
      <sheetName val="A"/>
      <sheetName val="Let-adj"/>
      <sheetName val="Cumulative"/>
      <sheetName val="monthly"/>
      <sheetName val="stock"/>
      <sheetName val="Indicators"/>
      <sheetName val="B"/>
      <sheetName val="Balance BCB"/>
      <sheetName val="Balance SF"/>
      <sheetName val="BkAdjusment"/>
      <sheetName val="1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Acciones-RRHH"/>
      <sheetName val="EPCG_"/>
      <sheetName val="EGL_PL"/>
      <sheetName val="DGL_PL"/>
      <sheetName val="EGLP_PL"/>
      <sheetName val="DGLP_PL"/>
      <sheetName val="CF Julio"/>
      <sheetName val="1114020106"/>
      <sheetName val="SAN"/>
      <sheetName val="Formato Inputs Técnicos"/>
      <sheetName val="Tables"/>
      <sheetName val="What-if"/>
      <sheetName val="Fin Charts"/>
      <sheetName val="Sensitivity"/>
      <sheetName val="ops"/>
      <sheetName val="cgvt rev"/>
      <sheetName val="nfpentps"/>
      <sheetName val=" PROY_2019"/>
      <sheetName val="CALCULO TARIFARIO"/>
      <sheetName val="lista"/>
      <sheetName val="ejecución 2004"/>
      <sheetName val="IVA1 ok"/>
      <sheetName val="Hoja1"/>
      <sheetName val="EPCG_1"/>
      <sheetName val="EGL_PL1"/>
      <sheetName val="DGL_PL1"/>
      <sheetName val="EGLP_PL1"/>
      <sheetName val="DGLP_PL1"/>
      <sheetName val="CF_Julio"/>
      <sheetName val="Formato_Inputs_Técnicos"/>
      <sheetName val="EPCG_2"/>
      <sheetName val="EGL_PL2"/>
      <sheetName val="DGL_PL2"/>
      <sheetName val="EGLP_PL2"/>
      <sheetName val="DGLP_PL2"/>
      <sheetName val="CF_Julio1"/>
      <sheetName val="Formato_Inputs_Técnicos1"/>
      <sheetName val="EPCG_3"/>
      <sheetName val="EGL_PL3"/>
      <sheetName val="DGL_PL3"/>
      <sheetName val="EGLP_PL3"/>
      <sheetName val="DGLP_PL3"/>
      <sheetName val="CF_Julio2"/>
      <sheetName val="Formato_Inputs_Técnicos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SAN"/>
      <sheetName val="Formato Inputs Técnicos"/>
      <sheetName val="Acciones-RRHH"/>
      <sheetName val="EPCG_"/>
      <sheetName val="EGL_PL"/>
      <sheetName val="DGL_PL"/>
      <sheetName val="EGLP_PL"/>
      <sheetName val="DGLP_PL"/>
      <sheetName val="ejecución 2004"/>
      <sheetName val="CALCULO TARIFARIO"/>
      <sheetName val="IVA1 ok"/>
      <sheetName val="Hoja1"/>
      <sheetName val="Tables"/>
      <sheetName val="What-if"/>
      <sheetName val="Fin Charts"/>
      <sheetName val="Sensitivity"/>
      <sheetName val="ops"/>
      <sheetName val="cgvt rev"/>
      <sheetName val="nfpentps"/>
      <sheetName val=" PROY_2019"/>
      <sheetName val="lista"/>
      <sheetName val="YTD"/>
      <sheetName val="Listas MK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D&amp;M"/>
      <sheetName val="knt planta "/>
      <sheetName val="Graphs"/>
      <sheetName val="KNT"/>
      <sheetName val="KNN"/>
      <sheetName val="CRC"/>
      <sheetName val="BBL"/>
      <sheetName val="Kanata"/>
      <sheetName val="Chimoré-BL"/>
      <sheetName val="BBL-CRC"/>
      <sheetName val="Assumptions"/>
      <sheetName val="GAS Prices"/>
      <sheetName val="GSA Price"/>
      <sheetName val="Prices Summary"/>
      <sheetName val="Historic Price Data"/>
      <sheetName val="HQC"/>
      <sheetName val="FLC"/>
      <sheetName val="FLC Chimoré"/>
      <sheetName val="DD&amp;A-S.A."/>
      <sheetName val="DD&amp;A-GAAP"/>
      <sheetName val="DD&amp;A-TAX"/>
      <sheetName val="SL-DD&amp;A"/>
      <sheetName val="Tariffs"/>
      <sheetName val="Demand-Gas Export"/>
      <sheetName val="Gas Mark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admap"/>
      <sheetName val="Montabs"/>
      <sheetName val="SUMTAB"/>
      <sheetName val="SUMTAB (2)"/>
      <sheetName val="indic"/>
      <sheetName val="Multiplier"/>
      <sheetName val="realint"/>
      <sheetName val="fiscout"/>
      <sheetName val="interv"/>
      <sheetName val="monimp"/>
      <sheetName val="seignior"/>
      <sheetName val="real"/>
      <sheetName val="profit"/>
      <sheetName val="junk"/>
      <sheetName val="corresp"/>
      <sheetName val="macros"/>
      <sheetName val="Booktables"/>
      <sheetName val="MONREV98"/>
      <sheetName val="Border tax revenue 6.2"/>
      <sheetName val="Cuadro 1"/>
      <sheetName val="Summary table"/>
      <sheetName val="SUMTAB_(2)"/>
      <sheetName val="prog-2003"/>
      <sheetName val="Final Ch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1.MacInd"/>
      <sheetName val="MacInd data"/>
      <sheetName val="2.Cpifigure"/>
      <sheetName val="CPI"/>
      <sheetName val=" wage"/>
      <sheetName val="3.Ext (2)"/>
      <sheetName val="Extdat"/>
      <sheetName val="4.Fis"/>
      <sheetName val="Fisdat "/>
      <sheetName val="5.MonDev"/>
      <sheetName val="MonSur"/>
      <sheetName val="Velocity"/>
      <sheetName val="currdep&amp;mm"/>
      <sheetName val="6.IntRate"/>
      <sheetName val="IntRatedat"/>
      <sheetName val="8.Exch"/>
      <sheetName val="exdat"/>
      <sheetName val="ex rate"/>
      <sheetName val="ex_row"/>
      <sheetName val="7.Fin&amp;Bk"/>
      <sheetName val="Fin&amp;Bkdat"/>
      <sheetName val="Cab"/>
      <sheetName val="GiR"/>
      <sheetName val="mev"/>
      <sheetName val="Panel1"/>
      <sheetName val="Book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A"/>
      <sheetName val="AQ"/>
      <sheetName val="DQ"/>
      <sheetName val="ControlSheet"/>
      <sheetName val="FS"/>
      <sheetName val="Monthly"/>
      <sheetName val="MEI, SEI and EFV"/>
      <sheetName val="pensions (pr2000)"/>
      <sheetName val="Interest"/>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Annual"/>
      <sheetName val="Quarterly"/>
      <sheetName val="Monthly"/>
      <sheetName val="Interest"/>
      <sheetName val="INFlevel"/>
      <sheetName val="INFrate"/>
      <sheetName val="GDPQ"/>
      <sheetName val="GDP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work"/>
      <sheetName val="Roadmap"/>
      <sheetName val="monimp"/>
      <sheetName val="interv"/>
      <sheetName val="Montabs"/>
      <sheetName val="fiscout"/>
      <sheetName val="corresp"/>
      <sheetName val="junk"/>
      <sheetName val="real"/>
      <sheetName val="GSA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Input"/>
      <sheetName val="BoP_Sum"/>
      <sheetName val="BoP"/>
      <sheetName val="DS_after2001 (2)"/>
      <sheetName val="Chart1 DS"/>
      <sheetName val="Sheet1"/>
      <sheetName val="RED_Tble36"/>
      <sheetName val="Prog"/>
      <sheetName val="End-94"/>
      <sheetName val="End-94 (2)"/>
      <sheetName val="Gas"/>
      <sheetName val="ER"/>
      <sheetName val="UFC_TBL"/>
      <sheetName val="IMF"/>
      <sheetName val="DS_after2001"/>
      <sheetName val="Projects"/>
      <sheetName val="WB"/>
      <sheetName val="EBRD"/>
      <sheetName val="CPFs"/>
      <sheetName val="ControlSheet"/>
      <sheetName val="Debt"/>
      <sheetName val="DSA-2000"/>
      <sheetName val="DSA"/>
      <sheetName val="WEO"/>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Macro"/>
      <sheetName val="Vulner"/>
      <sheetName val="SIbal"/>
      <sheetName val="ControlSheet"/>
      <sheetName val="Inputs(exo)"/>
      <sheetName val="Macro(exo)"/>
      <sheetName val="MEI-Table"/>
      <sheetName val="Nat Acc"/>
      <sheetName val="IMF-AEAF-BNB"/>
      <sheetName val="MT-A"/>
      <sheetName val="Kosovo"/>
      <sheetName val="FISCMT"/>
      <sheetName val="bopmt"/>
      <sheetName val="seignior"/>
      <sheetName val="GDP ORIGIN EXPEND"/>
      <sheetName val="NGDP-Hist"/>
      <sheetName val="Decomposition"/>
      <sheetName val="Current price GDP"/>
      <sheetName val="Base year price GDP"/>
      <sheetName val="NGDPR-Hist"/>
      <sheetName val="Real GDP growth"/>
      <sheetName val="Deflator"/>
      <sheetName val="ARealGDP"/>
      <sheetName val="WEO"/>
      <sheetName val="Micro"/>
      <sheetName val="ER"/>
      <sheetName val="WB"/>
      <sheetName val="monimp"/>
      <sheetName val="interv"/>
      <sheetName val="fiscout"/>
      <sheetName val="Nat_Acc"/>
      <sheetName val="GDP_ORIGIN_EXPEND"/>
      <sheetName val="Current_price_GDP"/>
      <sheetName val="Base_year_price_GDP"/>
      <sheetName val="Real_GDP_growt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adMap"/>
      <sheetName val="BOE Data"/>
      <sheetName val="BOEDOL"/>
      <sheetName val="Sheet4"/>
      <sheetName val="WEO"/>
      <sheetName val="TRE"/>
      <sheetName val="DESK"/>
      <sheetName val="STAT"/>
      <sheetName val="Assumptions"/>
      <sheetName val="CAP-REPAY"/>
      <sheetName val="Trade"/>
      <sheetName val="Services"/>
      <sheetName val="Capital Act."/>
      <sheetName val="Summary BOP"/>
      <sheetName val="TRY-BOP"/>
      <sheetName val="NIR"/>
      <sheetName val="Sheet3"/>
      <sheetName val="Sheet1"/>
      <sheetName val="DEBT-NON-D-FL"/>
      <sheetName val="DEBT-RAWDT"/>
      <sheetName val="Debt"/>
      <sheetName val="debt-nt"/>
      <sheetName val="Print Table"/>
      <sheetName val="FDI"/>
      <sheetName val="CompDebt"/>
      <sheetName val="Sheet2"/>
      <sheetName val="Graphs"/>
      <sheetName val="Module1"/>
      <sheetName val="Module2"/>
      <sheetName val="Module3"/>
      <sheetName val="Module4"/>
      <sheetName val="Module5"/>
      <sheetName val="Module6"/>
      <sheetName val="Module7"/>
      <sheetName val="Module8"/>
      <sheetName val="Module9"/>
      <sheetName val="Module10"/>
      <sheetName val="Module11"/>
      <sheetName val="Module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 val="SUB_10001"/>
      <sheetName val="EMISION_(2)1"/>
      <sheetName val="SUB_10002"/>
      <sheetName val="EMISION_(2)2"/>
      <sheetName val="SUB_10003"/>
      <sheetName val="EMISION_(2)3"/>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 sheetId="15"/>
      <sheetData sheetId="16"/>
      <sheetData sheetId="17"/>
      <sheetData sheetId="18"/>
      <sheetData sheetId="19"/>
      <sheetData sheetId="20"/>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0025"/>
      <sheetName val="bcosdef"/>
      <sheetName val="ca67"/>
      <sheetName val="bcospreli"/>
      <sheetName val="pm0028"/>
      <sheetName val="bccrdef"/>
      <sheetName val="Bancos"/>
      <sheetName val="Central"/>
      <sheetName val="Programa"/>
      <sheetName val="SEMANAL"/>
      <sheetName val="res2002"/>
      <sheetName val="paradoc "/>
      <sheetName val="PROGvrsOBS"/>
      <sheetName val="deficit"/>
      <sheetName val="Metas"/>
      <sheetName val="RFPROMEDIOPIB"/>
      <sheetName val="encaje"/>
      <sheetName val="emision"/>
      <sheetName val="BalanceBCom"/>
      <sheetName val="balanzaresumen"/>
      <sheetName val="base FMI"/>
      <sheetName val="FMI"/>
      <sheetName val="resctasmonet"/>
      <sheetName val="omas"/>
      <sheetName val="minor"/>
      <sheetName val="origen y aplicacion"/>
      <sheetName val="origen y aplicacion 2002"/>
      <sheetName val="origen y aplicacion 2003"/>
      <sheetName val="origen y aplicacion 2004"/>
      <sheetName val="basemonetaria"/>
      <sheetName val="riqueza"/>
      <sheetName val="Crédito"/>
      <sheetName val="comparativofmi"/>
      <sheetName val="evaluacionmetas"/>
      <sheetName val="depbcosme"/>
      <sheetName val="absorcion"/>
      <sheetName val="Módulo1"/>
      <sheetName val="flujos (2)"/>
      <sheetName val="Hoja1"/>
      <sheetName val="indice"/>
      <sheetName val="DB"/>
      <sheetName val="CB"/>
      <sheetName val="CSPPROMEDIOPI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CxC CP YPFB 24.08.11"/>
      <sheetName val="AUXILIAR LP YPFB 24.08.11"/>
      <sheetName val="FLETES"/>
      <sheetName val="FACTURAS ANULADAS"/>
      <sheetName val="Hoja1"/>
      <sheetName val="gASOLINA"/>
      <sheetName val="conciliacion 15.05.12"/>
      <sheetName val="Hoja4"/>
      <sheetName val="Hoja2"/>
      <sheetName val="pagos 2014"/>
      <sheetName val="Vcto 2015"/>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 PA DR CP 01.09.09"/>
      <sheetName val="2008-2009"/>
      <sheetName val="ACEC 2008-2009"/>
      <sheetName val="ACEC 2008-2009 (2)"/>
      <sheetName val="PROPUESTA (2)"/>
      <sheetName val="PROPUESTA"/>
      <sheetName val="Prop 1 (PG+INT)"/>
      <sheetName val="Prop 2 (Financ)"/>
      <sheetName val="PETROPAR-TF"/>
      <sheetName val="INDICE"/>
      <sheetName val="E1"/>
      <sheetName val="E2"/>
      <sheetName val="1"/>
      <sheetName val="2"/>
      <sheetName val="3"/>
      <sheetName val="4"/>
      <sheetName val="5"/>
      <sheetName val="ESC 1"/>
      <sheetName val="ESC 2"/>
      <sheetName val="ESC 3"/>
      <sheetName val="ESC 4"/>
      <sheetName val="WTI MENSUAL"/>
      <sheetName val="PRECIOS PETROLEO Y GAS"/>
      <sheetName val=" Vol. Anual"/>
      <sheetName val="A"/>
      <sheetName val="B"/>
      <sheetName val="C"/>
      <sheetName val="D"/>
      <sheetName val="E"/>
      <sheetName val="F"/>
      <sheetName val="G"/>
      <sheetName val="H"/>
      <sheetName val="Resumen Esc fuel WTI "/>
      <sheetName val="Tasa IEHD_Cálculo"/>
      <sheetName val="Gasolina"/>
      <sheetName val="Gasolina (2)"/>
      <sheetName val="Base Cal. Incentivos (2)"/>
      <sheetName val="Base Cal. Subvención Hidr"/>
      <sheetName val="Subv_ I&amp;A"/>
      <sheetName val="Factor de Subv IyA"/>
      <sheetName val="AOV 8%"/>
      <sheetName val="SUBVENCION E INCENTIVOS"/>
      <sheetName val="Base Cal. Incentivos"/>
      <sheetName val="R. Subvencion sin etanol"/>
      <sheetName val="R. Subvencion con etanol"/>
      <sheetName val="Variables"/>
      <sheetName val="SAP_PA_DR_CP_01_09_09"/>
      <sheetName val="ACEC_2008-2009"/>
      <sheetName val="ACEC_2008-2009_(2)"/>
      <sheetName val="PROPUESTA_(2)"/>
      <sheetName val="Prop_1_(PG+INT)"/>
      <sheetName val="Prop_2_(Financ)"/>
      <sheetName val="SAP_PA_DR_CP_01_09_091"/>
      <sheetName val="ACEC_2008-20091"/>
      <sheetName val="ACEC_2008-2009_(2)1"/>
      <sheetName val="PROPUESTA_(2)1"/>
      <sheetName val="Prop_1_(PG+INT)1"/>
      <sheetName val="Prop_2_(Financ)1"/>
      <sheetName val="SAP_PA_DR_CP_01_09_092"/>
      <sheetName val="ACEC_2008-20092"/>
      <sheetName val="ACEC_2008-2009_(2)2"/>
      <sheetName val="PROPUESTA_(2)2"/>
      <sheetName val="Prop_1_(PG+INT)2"/>
      <sheetName val="Prop_2_(Finan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 val="Stress 0322"/>
      <sheetName val="Stress analysis"/>
      <sheetName val="IMF Assistance Old"/>
      <sheetName val="Key Ratios"/>
      <sheetName val="Debt Service  Long"/>
      <sheetName val="Q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 val="Q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ejecución 20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Updating"/>
      <sheetName val="Budget"/>
      <sheetName val="Macro"/>
      <sheetName val="Cust"/>
      <sheetName val="SII_new"/>
      <sheetName val="TF"/>
      <sheetName val="for_imp"/>
      <sheetName val="sust."/>
      <sheetName val="WEO"/>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nput-Dom.Assum"/>
      <sheetName val="Input-SPNF"/>
      <sheetName val="Input-Consa-EPNF"/>
      <sheetName val="Input-Consa-RGG"/>
      <sheetName val="Input-Consa-GCC"/>
      <sheetName val="Input-Financing Hac"/>
      <sheetName val="IN OUT"/>
      <sheetName val="NFPEntps"/>
      <sheetName val="Rest of GG"/>
      <sheetName val="CGvt Rev"/>
      <sheetName val="CentGovCons"/>
      <sheetName val="Gen Gvt"/>
      <sheetName val="OPS"/>
      <sheetName val="SR-0PS"/>
      <sheetName val="SR-Financing"/>
      <sheetName val="SR-De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Execute Macros"/>
      <sheetName val="Annual Raw Data"/>
      <sheetName val="Quarterly Raw Data"/>
      <sheetName val="WEO Raw Data"/>
      <sheetName val="Annual Assumptions"/>
      <sheetName val="Quarterly Assumptions"/>
      <sheetName val="Annual MacroFlow"/>
      <sheetName val="Quarterly MacroFlow"/>
      <sheetName val="Annual Tables"/>
      <sheetName val="SEI Table"/>
      <sheetName val="Basic Data"/>
      <sheetName val="Program MFlows97"/>
      <sheetName val="WEO Submission Sheet"/>
      <sheetName val="SEI Chart"/>
      <sheetName val="Fiscal Chart"/>
      <sheetName val="Money Chart"/>
      <sheetName val="Macros Import"/>
      <sheetName val="Macros Print"/>
      <sheetName val="Execute_Macros"/>
      <sheetName val="Annual_Raw_Data"/>
      <sheetName val="Quarterly_Raw_Data"/>
      <sheetName val="WEO_Raw_Data"/>
      <sheetName val="Annual_Assumptions"/>
      <sheetName val="Quarterly_Assumptions"/>
      <sheetName val="Annual_MacroFlow"/>
      <sheetName val="Quarterly_MacroFlow"/>
      <sheetName val="Annual_Tables"/>
      <sheetName val="SEI_Table"/>
      <sheetName val="Basic_Data"/>
      <sheetName val="Program_MFlows97"/>
      <sheetName val="WEO_Submission_Sheet"/>
      <sheetName val="SEI_Chart"/>
      <sheetName val="Fiscal_Chart"/>
      <sheetName val="Money_Chart"/>
      <sheetName val="Macros_Import"/>
      <sheetName val="Macros_Print"/>
      <sheetName val="EFF_Arrangements"/>
      <sheetName val="PRGF_Arrangements"/>
      <sheetName val="STBY_Arrangements"/>
      <sheetName val="EFF Arrangements"/>
      <sheetName val="PRGF Arrangements"/>
      <sheetName val="STBY Arrangements"/>
      <sheetName val="PERUMF97"/>
      <sheetName val="Execute_Macros1"/>
      <sheetName val="Annual_Raw_Data1"/>
      <sheetName val="Quarterly_Raw_Data1"/>
      <sheetName val="WEO_Raw_Data1"/>
      <sheetName val="Annual_Assumptions1"/>
      <sheetName val="Quarterly_Assumptions1"/>
      <sheetName val="Annual_MacroFlow1"/>
      <sheetName val="Quarterly_MacroFlow1"/>
      <sheetName val="Annual_Tables1"/>
      <sheetName val="SEI_Table1"/>
      <sheetName val="Basic_Data1"/>
      <sheetName val="Program_MFlows971"/>
      <sheetName val="WEO_Submission_Sheet1"/>
      <sheetName val="SEI_Chart1"/>
      <sheetName val="Fiscal_Chart1"/>
      <sheetName val="Money_Chart1"/>
      <sheetName val="Macros_Import1"/>
      <sheetName val="Macros_Print1"/>
      <sheetName val="EFF_Arrangements1"/>
      <sheetName val="PRGF_Arrangements1"/>
      <sheetName val="STBY_Arrangements1"/>
      <sheetName val="Execute_Macros2"/>
      <sheetName val="Annual_Raw_Data2"/>
      <sheetName val="Quarterly_Raw_Data2"/>
      <sheetName val="WEO_Raw_Data2"/>
      <sheetName val="Annual_Assumptions2"/>
      <sheetName val="Quarterly_Assumptions2"/>
      <sheetName val="Annual_MacroFlow2"/>
      <sheetName val="Quarterly_MacroFlow2"/>
      <sheetName val="Annual_Tables2"/>
      <sheetName val="SEI_Table2"/>
      <sheetName val="Basic_Data2"/>
      <sheetName val="Program_MFlows972"/>
      <sheetName val="WEO_Submission_Sheet2"/>
      <sheetName val="SEI_Chart2"/>
      <sheetName val="Fiscal_Chart2"/>
      <sheetName val="Money_Chart2"/>
      <sheetName val="Macros_Import2"/>
      <sheetName val="Macros_Print2"/>
      <sheetName val="EFF_Arrangements2"/>
      <sheetName val="PRGF_Arrangements2"/>
      <sheetName val="STBY_Arrangements2"/>
      <sheetName val="Execute_Macros3"/>
      <sheetName val="Annual_Raw_Data3"/>
      <sheetName val="Quarterly_Raw_Data3"/>
      <sheetName val="WEO_Raw_Data3"/>
      <sheetName val="Annual_Assumptions3"/>
      <sheetName val="Quarterly_Assumptions3"/>
      <sheetName val="Annual_MacroFlow3"/>
      <sheetName val="Quarterly_MacroFlow3"/>
      <sheetName val="Annual_Tables3"/>
      <sheetName val="SEI_Table3"/>
      <sheetName val="Basic_Data3"/>
      <sheetName val="Program_MFlows973"/>
      <sheetName val="WEO_Submission_Sheet3"/>
      <sheetName val="SEI_Chart3"/>
      <sheetName val="Fiscal_Chart3"/>
      <sheetName val="Money_Chart3"/>
      <sheetName val="Macros_Import3"/>
      <sheetName val="Macros_Print3"/>
      <sheetName val="EFF_Arrangements3"/>
      <sheetName val="PRGF_Arrangements3"/>
      <sheetName val="STBY_Arrangements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sheetData sheetId="38"/>
      <sheetData sheetId="39"/>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N"/>
      <sheetName val="OUT"/>
      <sheetName val="BOP"/>
      <sheetName val="Assumptions"/>
      <sheetName val="SR"/>
      <sheetName val="Mediumterm-High"/>
      <sheetName val="Mediumterm-Low"/>
      <sheetName val="ext financing"/>
      <sheetName val="OUPUT TO DSA"/>
      <sheetName val="Stock of Arrears"/>
      <sheetName val="Exports"/>
      <sheetName val="Imports"/>
      <sheetName val="Serv&amp;Trans"/>
      <sheetName val="Income"/>
      <sheetName val="Fund"/>
      <sheetName val="Grants"/>
      <sheetName val="RES"/>
      <sheetName val="External Debt(A)"/>
      <sheetName val="2001-02 Debt Service "/>
      <sheetName val="2002-03 Debt Service"/>
      <sheetName val="2003-04 Debt Service"/>
      <sheetName val="Debt monthly"/>
      <sheetName val="Debtind"/>
      <sheetName val="Cash Flow"/>
      <sheetName val="FinReq"/>
      <sheetName val="ConcLoan"/>
      <sheetName val="IMF quart"/>
      <sheetName val="IMF"/>
      <sheetName val="RED"/>
      <sheetName val="ejecución 2004"/>
      <sheetName val="Assumptions:Cash Flow"/>
      <sheetName val="Assumptions: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DebtM"/>
      <sheetName val="finreq-m02"/>
      <sheetName val="BoP-m02"/>
      <sheetName val="Input"/>
      <sheetName val="Trade"/>
      <sheetName val="SER"/>
      <sheetName val="Input2"/>
      <sheetName val="DebtSer"/>
      <sheetName val="CAP"/>
      <sheetName val="RES"/>
      <sheetName val="BoP"/>
      <sheetName val="BoP M-T"/>
      <sheetName val="FinReqM-T"/>
      <sheetName val="DEBT"/>
      <sheetName val="Vulnerability Indicators"/>
      <sheetName val="BOP Main"/>
      <sheetName val="BOP Alt"/>
      <sheetName val="month-01"/>
      <sheetName val="FINREQ"/>
      <sheetName val="monthCAP"/>
      <sheetName val="OUTPUT"/>
      <sheetName val="finproj"/>
      <sheetName val="PC+Bond"/>
      <sheetName val="arr"/>
      <sheetName val="PC"/>
      <sheetName val="M-Ttab"/>
      <sheetName val="BondFin"/>
      <sheetName val="PCscen"/>
      <sheetName val="BoP med-t"/>
      <sheetName val="gaps"/>
      <sheetName val="month2000"/>
      <sheetName val="WEO"/>
      <sheetName val="SR_99"/>
      <sheetName val="BoPmonth99"/>
      <sheetName val="Chart1"/>
      <sheetName val="WEOQ5"/>
      <sheetName val="WEOQ6"/>
      <sheetName val="WEOQ7"/>
      <sheetName val="xxweolinksxx"/>
      <sheetName val="correlations with EMBI"/>
      <sheetName val="BoP_M-T"/>
      <sheetName val="Vulnerability_Indicators"/>
      <sheetName val="BOP_Main"/>
      <sheetName val="BOP_Alt"/>
      <sheetName val="BoP_med-t"/>
      <sheetName val="ecubopLatest"/>
      <sheetName val="Serv&amp;Trans"/>
      <sheetName val="Assumptions"/>
      <sheetName val="Cash Flow"/>
      <sheetName val="Fund"/>
      <sheetName val="BoP_M-T1"/>
      <sheetName val="Vulnerability_Indicators1"/>
      <sheetName val="BOP_Main1"/>
      <sheetName val="BOP_Alt1"/>
      <sheetName val="BoP_med-t1"/>
      <sheetName val="correlations_with_EMBI"/>
      <sheetName val="BoP_M-T2"/>
      <sheetName val="Vulnerability_Indicators2"/>
      <sheetName val="BOP_Main2"/>
      <sheetName val="BOP_Alt2"/>
      <sheetName val="BoP_med-t2"/>
      <sheetName val="correlations_with_EMBI1"/>
      <sheetName val="BoP_M-T3"/>
      <sheetName val="Vulnerability_Indicators3"/>
      <sheetName val="BOP_Main3"/>
      <sheetName val="BOP_Alt3"/>
      <sheetName val="BoP_med-t3"/>
      <sheetName val="correlations_with_EMBI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refreshError="1"/>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E"/>
      <sheetName val="FEB"/>
      <sheetName val="MAR"/>
      <sheetName val="ABR"/>
      <sheetName val="MAY"/>
      <sheetName val="JUN"/>
      <sheetName val="JUL"/>
      <sheetName val="AGO"/>
      <sheetName val="SEP"/>
      <sheetName val="OCT"/>
      <sheetName val="NOV"/>
      <sheetName val="DIC"/>
      <sheetName val="A"/>
      <sheetName val="C"/>
      <sheetName val="VM"/>
      <sheetName val="TARI"/>
      <sheetName val="G"/>
      <sheetName val="RES"/>
      <sheetName val="GR"/>
      <sheetName val="EPG"/>
      <sheetName val="DPG"/>
      <sheetName val="APG"/>
      <sheetName val="PE"/>
      <sheetName val="PD"/>
      <sheetName val="PA"/>
      <sheetName val="GE"/>
      <sheetName val="GD"/>
      <sheetName val="GA"/>
      <sheetName val="EW"/>
      <sheetName val="DW"/>
      <sheetName val="AW"/>
      <sheetName val="EP"/>
      <sheetName val="ED"/>
      <sheetName val="EA"/>
      <sheetName val="EG"/>
      <sheetName val="DG"/>
      <sheetName val="AG"/>
      <sheetName val="EI"/>
      <sheetName val="DI"/>
      <sheetName val="AI"/>
      <sheetName val="EE"/>
      <sheetName val="DE"/>
      <sheetName val="AE"/>
      <sheetName val="EL"/>
      <sheetName val="DL"/>
      <sheetName val="AL"/>
      <sheetName val="ERP"/>
      <sheetName val="DRP"/>
      <sheetName val="ARP"/>
      <sheetName val="EGL"/>
      <sheetName val="DGL"/>
      <sheetName val="AGL"/>
      <sheetName val="EC"/>
      <sheetName val="DC"/>
      <sheetName val="AC"/>
      <sheetName val="EQ"/>
      <sheetName val="DQ"/>
      <sheetName val="AQ"/>
      <sheetName val="Listado PEp's"/>
      <sheetName val="Listado_PEp's"/>
      <sheetName val="120"/>
      <sheetName val="Listado_PEp's1"/>
      <sheetName val="Cash_Flow"/>
      <sheetName val="AmortTable"/>
      <sheetName val="Listado_PEp's2"/>
      <sheetName val="Listado_PEp's3"/>
      <sheetName val="Listado_PEp's4"/>
      <sheetName val="Balance Of-Dda."/>
      <sheetName val="6 - Analítico"/>
      <sheetName val="PDPUCP-SAL"/>
      <sheetName val="PARTE DIARIO"/>
      <sheetName val="PROD X POZO"/>
      <sheetName val="CROMATOGRAFIAS"/>
      <sheetName val="BALANCE DE GAS DEL MES"/>
      <sheetName val="PRUEBAS POZO"/>
      <sheetName val="CO2-DP"/>
      <sheetName val="PTP 2018 SAL-ITU"/>
      <sheetName val="1"/>
      <sheetName val="PRUEBAS TEORICAS"/>
      <sheetName val="ALNG Schedule"/>
      <sheetName val="Data sheet"/>
      <sheetName val="ALNG"/>
      <sheetName val="S&amp;PD"/>
      <sheetName val="Finance"/>
      <sheetName val="WEPO"/>
      <sheetName val="Expl"/>
      <sheetName val="14 point profile"/>
      <sheetName val="LossPrevent"/>
      <sheetName val="NCMA Schedule"/>
      <sheetName val="C&amp;P-Supply Chain"/>
      <sheetName val="CH"/>
      <sheetName val="AN"/>
      <sheetName val="DEP"/>
      <sheetName val="FORM 4 Blanco"/>
      <sheetName val="FORM 5 Blanco "/>
      <sheetName val="Resúmen Ppto."/>
      <sheetName val="Form 6"/>
      <sheetName val="Form 7"/>
      <sheetName val="Form 8"/>
      <sheetName val="Form 10"/>
      <sheetName val="PARTE"/>
      <sheetName val="DIAGRAMA "/>
      <sheetName val="ACTIVO"/>
      <sheetName val="basemone"/>
      <sheetName val="Input"/>
      <sheetName val="OUTPUT"/>
      <sheetName val="Trade"/>
      <sheetName val="Listado_PEp's5"/>
      <sheetName val="Balance_Of-Dda_"/>
      <sheetName val="Listado_PEp's6"/>
      <sheetName val="Balance_Of-Dda_1"/>
      <sheetName val="Listado_PEp's7"/>
      <sheetName val="Balance_Of-Dda_2"/>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 val="A"/>
      <sheetName val="C"/>
      <sheetName val="BaseMone"/>
      <sheetName val="EGLP PL"/>
      <sheetName val="EG"/>
      <sheetName val="eje 2004"/>
      <sheetName val="summary table"/>
      <sheetName val="d24_05"/>
      <sheetName val="lb_26_05"/>
      <sheetName val="d30_06"/>
      <sheetName val="d03_07"/>
      <sheetName val="d14_08"/>
      <sheetName val="lb18_08"/>
      <sheetName val="cons10_07_00"/>
      <sheetName val="UBSJul__Ago_"/>
      <sheetName val="cons_07_08"/>
      <sheetName val="cons_11_09"/>
      <sheetName val="cons_13_11"/>
      <sheetName val="EJ_2"/>
      <sheetName val="cons13_11a"/>
      <sheetName val="cons11_12"/>
      <sheetName val="cons08_01"/>
      <sheetName val="fff01_01"/>
      <sheetName val="cons12_02"/>
      <sheetName val="cons12_03"/>
      <sheetName val="las_0602_fff6"/>
      <sheetName val="Grafico 4.2"/>
      <sheetName val="d24_052"/>
      <sheetName val="lb_26_052"/>
      <sheetName val="d30_062"/>
      <sheetName val="d03_072"/>
      <sheetName val="d14_082"/>
      <sheetName val="lb18_082"/>
      <sheetName val="cons10_07_002"/>
      <sheetName val="UBSJul__Ago_2"/>
      <sheetName val="cons_07_082"/>
      <sheetName val="cons_11_092"/>
      <sheetName val="cons_13_112"/>
      <sheetName val="EJ_22"/>
      <sheetName val="cons13_11a2"/>
      <sheetName val="cons11_122"/>
      <sheetName val="cons08_012"/>
      <sheetName val="fff01_012"/>
      <sheetName val="cons12_022"/>
      <sheetName val="cons12_032"/>
      <sheetName val="las_0602_fff62"/>
      <sheetName val="d24_051"/>
      <sheetName val="lb_26_051"/>
      <sheetName val="d30_061"/>
      <sheetName val="d03_071"/>
      <sheetName val="d14_081"/>
      <sheetName val="lb18_081"/>
      <sheetName val="cons10_07_001"/>
      <sheetName val="UBSJul__Ago_1"/>
      <sheetName val="cons_07_081"/>
      <sheetName val="cons_11_091"/>
      <sheetName val="cons_13_111"/>
      <sheetName val="EJ_21"/>
      <sheetName val="cons13_11a1"/>
      <sheetName val="cons11_121"/>
      <sheetName val="cons08_011"/>
      <sheetName val="fff01_011"/>
      <sheetName val="cons12_021"/>
      <sheetName val="cons12_031"/>
      <sheetName val="las_0602_fff61"/>
      <sheetName val="d24_053"/>
      <sheetName val="lb_26_053"/>
      <sheetName val="d30_063"/>
      <sheetName val="d03_073"/>
      <sheetName val="d14_083"/>
      <sheetName val="lb18_083"/>
      <sheetName val="cons10_07_003"/>
      <sheetName val="UBSJul__Ago_3"/>
      <sheetName val="cons_07_083"/>
      <sheetName val="cons_11_093"/>
      <sheetName val="cons_13_113"/>
      <sheetName val="EJ_23"/>
      <sheetName val="cons13_11a3"/>
      <sheetName val="cons11_123"/>
      <sheetName val="cons08_013"/>
      <sheetName val="fff01_013"/>
      <sheetName val="cons12_023"/>
      <sheetName val="cons12_033"/>
      <sheetName val="las_0602_fff63"/>
      <sheetName val="Grafico_4_21"/>
      <sheetName val="Grafico_4_2"/>
      <sheetName val="Grafico_4_22"/>
      <sheetName val="Grafico_4_23"/>
      <sheetName val="d24_054"/>
      <sheetName val="lb_26_054"/>
      <sheetName val="d30_064"/>
      <sheetName val="d03_074"/>
      <sheetName val="d14_084"/>
      <sheetName val="lb18_084"/>
      <sheetName val="cons10_07_004"/>
      <sheetName val="UBSJul__Ago_4"/>
      <sheetName val="cons_07_084"/>
      <sheetName val="cons_11_094"/>
      <sheetName val="cons_13_114"/>
      <sheetName val="EJ_24"/>
      <sheetName val="cons13_11a4"/>
      <sheetName val="cons11_124"/>
      <sheetName val="cons08_014"/>
      <sheetName val="fff01_014"/>
      <sheetName val="cons12_024"/>
      <sheetName val="cons12_034"/>
      <sheetName val="las_0602_fff64"/>
      <sheetName val="Grafico_4_24"/>
      <sheetName val="VM"/>
      <sheetName val="summary b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refreshError="1"/>
      <sheetData sheetId="138" refreshError="1"/>
      <sheetData sheetId="139" refreshError="1"/>
      <sheetData sheetId="140"/>
      <sheetData sheetId="141" refreshError="1"/>
      <sheetData sheetId="142" refreshError="1"/>
      <sheetData sheetId="143" refreshError="1"/>
      <sheetData sheetId="144"/>
      <sheetData sheetId="145"/>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E"/>
      <sheetName val="FEB"/>
      <sheetName val="MAR"/>
      <sheetName val="ABR"/>
      <sheetName val="MAY"/>
      <sheetName val="JUN"/>
      <sheetName val="JUL"/>
      <sheetName val="AGO"/>
      <sheetName val="SEP"/>
      <sheetName val="OCT"/>
      <sheetName val="NOV"/>
      <sheetName val="DIC"/>
      <sheetName val="A"/>
      <sheetName val="C"/>
      <sheetName val="VM"/>
      <sheetName val="TARI"/>
      <sheetName val="G"/>
      <sheetName val="RES"/>
      <sheetName val="GR"/>
      <sheetName val="EPG"/>
      <sheetName val="DPG"/>
      <sheetName val="APG"/>
      <sheetName val="PE"/>
      <sheetName val="PD"/>
      <sheetName val="PA"/>
      <sheetName val="GE"/>
      <sheetName val="GD"/>
      <sheetName val="GA"/>
      <sheetName val="EW"/>
      <sheetName val="DW"/>
      <sheetName val="AW"/>
      <sheetName val="EP"/>
      <sheetName val="ED"/>
      <sheetName val="EA"/>
      <sheetName val="EG"/>
      <sheetName val="DG"/>
      <sheetName val="AG"/>
      <sheetName val="EI"/>
      <sheetName val="DI"/>
      <sheetName val="AI"/>
      <sheetName val="EE"/>
      <sheetName val="DE"/>
      <sheetName val="AE"/>
      <sheetName val="EL"/>
      <sheetName val="DL"/>
      <sheetName val="AL"/>
      <sheetName val="ERP"/>
      <sheetName val="DRP"/>
      <sheetName val="ARP"/>
      <sheetName val="EGL"/>
      <sheetName val="DGL"/>
      <sheetName val="AGL"/>
      <sheetName val="EC"/>
      <sheetName val="DC"/>
      <sheetName val="AC"/>
      <sheetName val="EQ"/>
      <sheetName val="DQ"/>
      <sheetName val="AQ"/>
      <sheetName val="120"/>
      <sheetName val="Listado PEp's"/>
      <sheetName val="Listado_PEp's"/>
      <sheetName val="Listado_PEp's1"/>
      <sheetName val="Cash_Flow"/>
      <sheetName val="AmortTable"/>
      <sheetName val="Listado_PEp's2"/>
      <sheetName val="Listado_PEp's3"/>
      <sheetName val="Listado_PEp's4"/>
      <sheetName val="Balance Of-Dda."/>
      <sheetName val="SAL2DW07"/>
      <sheetName val="SAL2DRES"/>
      <sheetName val="SAL2DGEO"/>
      <sheetName val="SAL2DDUR(5)"/>
      <sheetName val="SAL1DT10"/>
      <sheetName val="SAL2DW05"/>
      <sheetName val="SAL2DPLA(5)"/>
      <sheetName val="SAL1DDUR(5)"/>
      <sheetName val="SAL1DDUX(5)"/>
      <sheetName val="SAL2DW08"/>
      <sheetName val="SAL2DP14"/>
      <sheetName val="SAL2DT13"/>
      <sheetName val="SAL2DP13"/>
      <sheetName val="PAG-28"/>
      <sheetName val="basemone"/>
      <sheetName val="EGLP PL"/>
      <sheetName val="summary table"/>
      <sheetName val="REER"/>
      <sheetName val="6 - Analítico"/>
      <sheetName val="Listado_PEp's5"/>
      <sheetName val="Balance_Of-Dda_"/>
      <sheetName val="Listado_PEp's6"/>
      <sheetName val="Balance_Of-Dda_1"/>
      <sheetName val="Listado_PEp's7"/>
      <sheetName val="Balance_Of-Dda_2"/>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sheetData sheetId="16"/>
      <sheetData sheetId="17"/>
      <sheetData sheetId="18"/>
      <sheetData sheetId="19" refreshError="1"/>
      <sheetData sheetId="20"/>
      <sheetData sheetId="21"/>
      <sheetData sheetId="22" refreshError="1"/>
      <sheetData sheetId="23"/>
      <sheetData sheetId="24"/>
      <sheetData sheetId="25" refreshError="1"/>
      <sheetData sheetId="26"/>
      <sheetData sheetId="27"/>
      <sheetData sheetId="28" refreshError="1"/>
      <sheetData sheetId="29"/>
      <sheetData sheetId="30"/>
      <sheetData sheetId="31" refreshError="1"/>
      <sheetData sheetId="32"/>
      <sheetData sheetId="33"/>
      <sheetData sheetId="34"/>
      <sheetData sheetId="35"/>
      <sheetData sheetId="36"/>
      <sheetData sheetId="37"/>
      <sheetData sheetId="38"/>
      <sheetData sheetId="39"/>
      <sheetData sheetId="40" refreshError="1"/>
      <sheetData sheetId="41"/>
      <sheetData sheetId="42"/>
      <sheetData sheetId="43" refreshError="1"/>
      <sheetData sheetId="44"/>
      <sheetData sheetId="45"/>
      <sheetData sheetId="46" refreshError="1"/>
      <sheetData sheetId="47"/>
      <sheetData sheetId="48"/>
      <sheetData sheetId="49" refreshError="1"/>
      <sheetData sheetId="50"/>
      <sheetData sheetId="51"/>
      <sheetData sheetId="52" refreshError="1"/>
      <sheetData sheetId="53"/>
      <sheetData sheetId="54"/>
      <sheetData sheetId="55" refreshError="1"/>
      <sheetData sheetId="56"/>
      <sheetData sheetId="57"/>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cución 2004"/>
      <sheetName val="IUE PERIODO ABR-MAR"/>
      <sheetName val="Proyección 2006"/>
      <sheetName val="28421"/>
      <sheetName val="Comparación 3058 vs 1689"/>
      <sheetName val="Analisis 1689 vs 3058"/>
      <sheetName val="cuadro 7"/>
      <sheetName val="ANEXO 3_MEMORIA DE CALCULO"/>
      <sheetName val="FORM. PPA-1"/>
      <sheetName val="FORM. PPA-2"/>
      <sheetName val="ANEXO 1"/>
      <sheetName val="ANEXO 2"/>
      <sheetName val="ANEXO 3"/>
      <sheetName val="ANEXO 4 "/>
      <sheetName val="ANEXO 5"/>
      <sheetName val="ANEXO 6"/>
      <sheetName val="ANEXO 7"/>
      <sheetName val="ANEXO 8 "/>
      <sheetName val="ANEXO 9"/>
      <sheetName val="ANEXO 10"/>
      <sheetName val="ANEXO 13"/>
      <sheetName val="ANEXO 14"/>
      <sheetName val="ANEXO 15"/>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IN"/>
      <sheetName val="OUT"/>
      <sheetName val="Monthly"/>
      <sheetName val="MonSurvey"/>
      <sheetName val="Program"/>
      <sheetName val="BRH income"/>
      <sheetName val="Seignorage"/>
      <sheetName val="BRH bonds"/>
      <sheetName val="Charts"/>
      <sheetName val="SR"/>
      <sheetName val="Soundness"/>
      <sheetName val="Rev-Exp chart"/>
      <sheetName val="RR Opp. Cost"/>
      <sheetName val="Monetary Charts"/>
      <sheetName val="R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
      <sheetName val="34"/>
      <sheetName val="56"/>
      <sheetName val="78"/>
      <sheetName val="910"/>
      <sheetName val="1112"/>
      <sheetName val="1314"/>
      <sheetName val="1516"/>
      <sheetName val="1718"/>
      <sheetName val="1920"/>
      <sheetName val="2122"/>
      <sheetName val="2324"/>
      <sheetName val="2526"/>
      <sheetName val="2728"/>
      <sheetName val="2930"/>
      <sheetName val="31"/>
      <sheetName val="RES"/>
      <sheetName val="DEP"/>
      <sheetName val="A"/>
      <sheetName val="AN"/>
      <sheetName val="C"/>
      <sheetName val="CH"/>
      <sheetName val="V"/>
      <sheetName val="Vi"/>
      <sheetName val="M"/>
      <sheetName val="MX"/>
      <sheetName val="Pe"/>
      <sheetName val="Per"/>
      <sheetName val="PL"/>
      <sheetName val="Plu"/>
      <sheetName val="DW"/>
      <sheetName val="Don"/>
      <sheetName val="Te"/>
      <sheetName val="Tes"/>
      <sheetName val="RT"/>
      <sheetName val="RTB"/>
      <sheetName val="LQ"/>
      <sheetName val="GS"/>
      <sheetName val="GC"/>
      <sheetName val="GD"/>
      <sheetName val="VM"/>
      <sheetName val="EC"/>
      <sheetName val="EE"/>
      <sheetName val="EGL"/>
      <sheetName val="EL"/>
      <sheetName val="EP"/>
      <sheetName val="EPG"/>
      <sheetName val="EQ"/>
      <sheetName val="ERP"/>
      <sheetName val="EW"/>
      <sheetName val="GE"/>
      <sheetName val="DPG"/>
      <sheetName val="EMPRESAS TOTAL GAS (%)"/>
      <sheetName val="EMPRESAS_TOTAL_GAS_(%)"/>
      <sheetName val="EMPRESAS_TOTAL_GAS_(%)1"/>
      <sheetName val="EMPRESAS_TOTAL_GAS_(%)2"/>
      <sheetName val="DBase PDC 02"/>
      <sheetName val="EMPRESAS_TOTAL_GAS_(%)3"/>
      <sheetName val="EMPRESAS_TOTAL_GAS_(%)4"/>
      <sheetName val="DBase_PDC_02"/>
      <sheetName val="EG"/>
      <sheetName val="EMPRESAS_TOTAL_GAS_(%)5"/>
      <sheetName val="DBase_PDC_021"/>
      <sheetName val="JUL99"/>
      <sheetName val="PAG-28"/>
      <sheetName val="Fixed and Variable Expenses"/>
      <sheetName val="pape-98"/>
      <sheetName val="bateria"/>
      <sheetName val="Program"/>
      <sheetName val="EMPRESAS_TOTAL_GAS_(%)6"/>
      <sheetName val="DBase_PDC_022"/>
      <sheetName val="EMPRESAS_TOTAL_GAS_(%)7"/>
      <sheetName val="DBase_PDC_023"/>
      <sheetName val="EMPRESAS_TOTAL_GAS_(%)8"/>
      <sheetName val="DBase_PDC_0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sheetData sheetId="58" refreshError="1"/>
      <sheetData sheetId="59" refreshError="1"/>
      <sheetData sheetId="60" refreshError="1"/>
      <sheetData sheetId="61"/>
      <sheetData sheetId="62"/>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Report"/>
      <sheetName val="Dtb"/>
      <sheetName val="Debt"/>
      <sheetName val="Reference"/>
      <sheetName val="Terms"/>
      <sheetName val="AMORT"/>
      <sheetName val="INT"/>
      <sheetName val="DOD"/>
      <sheetName val="CH"/>
      <sheetName val="AN"/>
      <sheetName val="DEP"/>
      <sheetName val="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12"/>
      <sheetName val="34"/>
      <sheetName val="56"/>
      <sheetName val="78"/>
      <sheetName val="910"/>
      <sheetName val="1112"/>
      <sheetName val="1314"/>
      <sheetName val="1516"/>
      <sheetName val="1718"/>
      <sheetName val="1920"/>
      <sheetName val="2122"/>
      <sheetName val="2324"/>
      <sheetName val="2526"/>
      <sheetName val="2728"/>
      <sheetName val="2930"/>
      <sheetName val="31"/>
      <sheetName val="RES"/>
      <sheetName val="A"/>
      <sheetName val="C"/>
      <sheetName val="V"/>
      <sheetName val="MX"/>
      <sheetName val="Pe"/>
      <sheetName val="PL"/>
      <sheetName val="DW"/>
      <sheetName val="Te"/>
      <sheetName val="ACG"/>
      <sheetName val="ACL"/>
      <sheetName val="Vi"/>
      <sheetName val="Ma"/>
      <sheetName val="Per"/>
      <sheetName val="Plu"/>
      <sheetName val="Don"/>
      <sheetName val="Tes"/>
      <sheetName val="GS"/>
      <sheetName val="LQ"/>
      <sheetName val="G"/>
      <sheetName val="Listado PEp's"/>
      <sheetName val="Listado_PEp's"/>
      <sheetName val="Listado_PEp's1"/>
      <sheetName val="Inputs"/>
      <sheetName val="Parametros"/>
      <sheetName val="Listado_PEp's2"/>
      <sheetName val="VM"/>
      <sheetName val="Listado_PEp's3"/>
      <sheetName val="Listado_PEp's4"/>
      <sheetName val="EG"/>
      <sheetName val="Listado_PEp's5"/>
      <sheetName val="Cash_Flow"/>
      <sheetName val="Hoja1"/>
      <sheetName val="PDPUCP"/>
      <sheetName val="BASE DE DATOS"/>
      <sheetName val="CALCULO PDP"/>
      <sheetName val="PRUEBAS"/>
      <sheetName val="PRUEBAS SEMANAL"/>
      <sheetName val="Gráfico1"/>
      <sheetName val="TABLA PROD SEMANAL"/>
      <sheetName val="CARRASCO"/>
      <sheetName val="BULO BULO"/>
      <sheetName val="CARRASCO FW"/>
      <sheetName val="KANATA NORTE"/>
      <sheetName val="AREA CARRASCO"/>
      <sheetName val="GCY"/>
      <sheetName val="AREA CARRASCO + GCY"/>
      <sheetName val="NOVEDADES"/>
      <sheetName val="bateria"/>
      <sheetName val="Fixed and Variable Expenses"/>
      <sheetName val="CH"/>
      <sheetName val="AN"/>
      <sheetName val="DEP"/>
      <sheetName val="prog-2011"/>
      <sheetName val="Terms"/>
      <sheetName val="Listado_PEp's6"/>
      <sheetName val="Listado_PEp's7"/>
      <sheetName val="Listado_PEp's8"/>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refreshError="1"/>
      <sheetData sheetId="38"/>
      <sheetData sheetId="39" refreshError="1"/>
      <sheetData sheetId="40" refreshError="1"/>
      <sheetData sheetId="41" refreshError="1"/>
      <sheetData sheetId="42"/>
      <sheetData sheetId="43" refreshError="1"/>
      <sheetData sheetId="44"/>
      <sheetData sheetId="45" refreshError="1"/>
      <sheetData sheetId="46" refreshError="1"/>
      <sheetData sheetId="47"/>
      <sheetData sheetId="48" refreshError="1"/>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 val="SUPUESTOS"/>
      <sheetName val="RESULTADOS"/>
      <sheetName val="SMONET-FINANC"/>
      <sheetName val="SFISCAL-MOD"/>
      <sheetName val="SREAL"/>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 val="F1data"/>
      <sheetName val="F2data"/>
      <sheetName val="#REF"/>
      <sheetName val="Execute_Macros"/>
      <sheetName val="Annual_Transfer"/>
      <sheetName val="Quarterly_Transfer"/>
      <sheetName val="Annual_Assumptions"/>
      <sheetName val="Quarterly_Assumptions"/>
      <sheetName val="Annual_MacroFlow"/>
      <sheetName val="Quarterly_MacroFlow"/>
      <sheetName val="Annual_Tables"/>
      <sheetName val="MFLOW96.XLS"/>
      <sheetName val="Execute_Macros1"/>
      <sheetName val="Annual_Transfer1"/>
      <sheetName val="Quarterly_Transfer1"/>
      <sheetName val="Annual_Assumptions1"/>
      <sheetName val="Quarterly_Assumptions1"/>
      <sheetName val="Annual_MacroFlow1"/>
      <sheetName val="Quarterly_MacroFlow1"/>
      <sheetName val="Annual_Tables1"/>
      <sheetName val="MFLOW96_XLS"/>
      <sheetName val="Execute_Macros2"/>
      <sheetName val="Annual_Transfer2"/>
      <sheetName val="Quarterly_Transfer2"/>
      <sheetName val="Annual_Assumptions2"/>
      <sheetName val="Quarterly_Assumptions2"/>
      <sheetName val="Annual_MacroFlow2"/>
      <sheetName val="Quarterly_MacroFlow2"/>
      <sheetName val="Annual_Tables2"/>
      <sheetName val="MFLOW96_XLS1"/>
      <sheetName val="Execute_Macros3"/>
      <sheetName val="Annual_Transfer3"/>
      <sheetName val="Quarterly_Transfer3"/>
      <sheetName val="Annual_Assumptions3"/>
      <sheetName val="Quarterly_Assumptions3"/>
      <sheetName val="Annual_MacroFlow3"/>
      <sheetName val="Quarterly_MacroFlow3"/>
      <sheetName val="Annual_Tables3"/>
      <sheetName val="MFLOW96_XLS2"/>
    </sheetNames>
    <definedNames>
      <definedName name="atrade"/>
      <definedName name="mflowsa"/>
      <definedName name="mflowsq"/>
      <definedName name="mstocksa"/>
      <definedName name="mstocksq"/>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28"/>
      <sheetName val="GRAF-4"/>
      <sheetName val="a"/>
      <sheetName val="2005OEC"/>
    </sheetNames>
    <sheetDataSet>
      <sheetData sheetId="0"/>
      <sheetData sheetId="1" refreshError="1"/>
      <sheetData sheetId="2" refreshError="1"/>
      <sheetData sheetId="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 4Q 02"/>
      <sheetName val="DEC01 DB"/>
      <sheetName val="index"/>
      <sheetName val="FIXED ASSETS"/>
      <sheetName val="WP"/>
      <sheetName val="PAE TABLE (WP)"/>
      <sheetName val="PAE TABLE"/>
      <sheetName val="PAE SALDOS ANALYSIS"/>
      <sheetName val="CASH &amp; CASH"/>
      <sheetName val="ACCOUNTS RECEIVABLE"/>
      <sheetName val="INVENTORIES"/>
      <sheetName val="LONG TERM DEBT"/>
      <sheetName val="BS_4Q_02"/>
      <sheetName val="DEC01_DB"/>
      <sheetName val="FIXED_ASSETS"/>
      <sheetName val="PAE_TABLE_(WP)"/>
      <sheetName val="PAE_TABLE"/>
      <sheetName val="PAE_SALDOS_ANALYSIS"/>
      <sheetName val="CASH_&amp;_CASH"/>
      <sheetName val="ACCOUNTS_RECEIVABLE"/>
      <sheetName val="LONG_TERM_DEBT"/>
      <sheetName val="BS_4Q_021"/>
      <sheetName val="DEC01_DB1"/>
      <sheetName val="FIXED_ASSETS1"/>
      <sheetName val="PAE_TABLE_(WP)1"/>
      <sheetName val="PAE_TABLE1"/>
      <sheetName val="PAE_SALDOS_ANALYSIS1"/>
      <sheetName val="CASH_&amp;_CASH1"/>
      <sheetName val="ACCOUNTS_RECEIVABLE1"/>
      <sheetName val="LONG_TERM_DEBT1"/>
      <sheetName val="BS_4Q_022"/>
      <sheetName val="DEC01_DB2"/>
      <sheetName val="FIXED_ASSETS2"/>
      <sheetName val="PAE_TABLE_(WP)2"/>
      <sheetName val="PAE_TABLE2"/>
      <sheetName val="PAE_SALDOS_ANALYSIS2"/>
      <sheetName val="CASH_&amp;_CASH2"/>
      <sheetName val="ACCOUNTS_RECEIVABLE2"/>
      <sheetName val="LONG_TERM_DEBT2"/>
      <sheetName val="BS_4Q_023"/>
      <sheetName val="DEC01_DB3"/>
      <sheetName val="FIXED_ASSETS3"/>
      <sheetName val="PAE_TABLE_(WP)3"/>
      <sheetName val="PAE_TABLE3"/>
      <sheetName val="PAE_SALDOS_ANALYSIS3"/>
      <sheetName val="CASH_&amp;_CASH3"/>
      <sheetName val="ACCOUNTS_RECEIVABLE3"/>
      <sheetName val="LONG_TERM_DEBT3"/>
      <sheetName val="BS_4Q_024"/>
      <sheetName val="DEC01_DB4"/>
      <sheetName val="FIXED_ASSETS4"/>
      <sheetName val="PAE_TABLE_(WP)4"/>
      <sheetName val="PAE_TABLE4"/>
      <sheetName val="PAE_SALDOS_ANALYSIS4"/>
      <sheetName val="CASH_&amp;_CASH4"/>
      <sheetName val="ACCOUNTS_RECEIVABLE4"/>
      <sheetName val="LONG_TERM_DEBT4"/>
      <sheetName val="BS_4Q_025"/>
      <sheetName val="DEC01_DB5"/>
      <sheetName val="FIXED_ASSETS5"/>
      <sheetName val="PAE_TABLE_(WP)5"/>
      <sheetName val="PAE_TABLE5"/>
      <sheetName val="PAE_SALDOS_ANALYSIS5"/>
      <sheetName val="CASH_&amp;_CASH5"/>
      <sheetName val="ACCOUNTS_RECEIVABLE5"/>
      <sheetName val="LONG_TERM_DEBT5"/>
      <sheetName val="Fixed and Variable Expenses"/>
      <sheetName val="Cash_Flow"/>
      <sheetName val="Overview"/>
      <sheetName val="Drop Down"/>
      <sheetName val="Assumptions"/>
      <sheetName val="Forecast(Bs)"/>
      <sheetName val="Forecast($)"/>
      <sheetName val="FX"/>
      <sheetName val="GAAP"/>
      <sheetName val="Deprec."/>
      <sheetName val="Quarter"/>
      <sheetName val="schC"/>
      <sheetName val="BTU's"/>
      <sheetName val="Variance"/>
      <sheetName val="schA"/>
      <sheetName val="SCH B"/>
      <sheetName val="Stat-Energy"/>
      <sheetName val="prog-2011"/>
      <sheetName val="EG"/>
      <sheetName val="C"/>
      <sheetName val="EGLP PL"/>
      <sheetName val="PAG-28"/>
      <sheetName val="BS_4Q_026"/>
      <sheetName val="DEC01_DB6"/>
      <sheetName val="FIXED_ASSETS6"/>
      <sheetName val="PAE_TABLE_(WP)6"/>
      <sheetName val="PAE_TABLE6"/>
      <sheetName val="PAE_SALDOS_ANALYSIS6"/>
      <sheetName val="CASH_&amp;_CASH6"/>
      <sheetName val="ACCOUNTS_RECEIVABLE6"/>
      <sheetName val="LONG_TERM_DEBT6"/>
      <sheetName val="BS_4Q_027"/>
      <sheetName val="DEC01_DB7"/>
      <sheetName val="FIXED_ASSETS7"/>
      <sheetName val="PAE_TABLE_(WP)7"/>
      <sheetName val="PAE_TABLE7"/>
      <sheetName val="PAE_SALDOS_ANALYSIS7"/>
      <sheetName val="CASH_&amp;_CASH7"/>
      <sheetName val="ACCOUNTS_RECEIVABLE7"/>
      <sheetName val="LONG_TERM_DEB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heetName val="listas"/>
      <sheetName val="Entidades"/>
      <sheetName val="Hoja4"/>
      <sheetName val="index"/>
    </sheetNames>
    <sheetDataSet>
      <sheetData sheetId="0"/>
      <sheetData sheetId="1"/>
      <sheetData sheetId="2"/>
      <sheetData sheetId="3"/>
      <sheetData sheetId="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NAMICA"/>
      <sheetName val="DATOS"/>
      <sheetName val="Hoja2"/>
      <sheetName val="eje 2004"/>
      <sheetName val="flc chimoré"/>
      <sheetName val="listas"/>
    </sheetNames>
    <sheetDataSet>
      <sheetData sheetId="0"/>
      <sheetData sheetId="1"/>
      <sheetData sheetId="2"/>
      <sheetData sheetId="3" refreshError="1"/>
      <sheetData sheetId="4" refreshError="1"/>
      <sheetData sheetId="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 val="retroactivo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cución 2004"/>
      <sheetName val="IUE PERIODO ABR-MAR"/>
      <sheetName val="Proyección 2006"/>
      <sheetName val="28421"/>
      <sheetName val="Comparación 3058 vs 1689"/>
      <sheetName val="Analisis 1689 vs 3058"/>
      <sheetName val="cuadro 7"/>
      <sheetName val="ANEXO 3_MEMORIA DE CALCULO"/>
      <sheetName val="FORM. PPA-1"/>
      <sheetName val="FORM. PPA-2"/>
      <sheetName val="ANEXO 1"/>
      <sheetName val="ANEXO 2"/>
      <sheetName val="ANEXO 3"/>
      <sheetName val="ANEXO 4 "/>
      <sheetName val="ANEXO 5"/>
      <sheetName val="ANEXO 6"/>
      <sheetName val="ANEXO 7"/>
      <sheetName val="ANEXO 8 "/>
      <sheetName val="ANEXO 9"/>
      <sheetName val="ANEXO 10"/>
      <sheetName val="ANEXO 13"/>
      <sheetName val="ANEXO 14"/>
      <sheetName val="ANEXO 15"/>
      <sheetName val="Q6"/>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o Cambeiti"/>
      <sheetName val="Modelo Margarita"/>
      <sheetName val="Modelo Monteagudo"/>
      <sheetName val="Modelo Surubi"/>
      <sheetName val="Modelo SRB Noroeste"/>
      <sheetName val="Modelo SRB Bloque Bajo"/>
      <sheetName val="Modelo Paloma"/>
      <sheetName val="1c"/>
      <sheetName val="1t"/>
      <sheetName val="1m"/>
      <sheetName val="1s"/>
      <sheetName val="1no"/>
      <sheetName val="1b"/>
      <sheetName val="1p"/>
      <sheetName val="2c"/>
      <sheetName val="2t"/>
      <sheetName val="2m"/>
      <sheetName val="2s"/>
      <sheetName val="2no"/>
      <sheetName val="2b"/>
      <sheetName val="2p"/>
      <sheetName val="3c"/>
      <sheetName val="3t"/>
      <sheetName val="3m"/>
      <sheetName val="3s"/>
      <sheetName val="3no"/>
      <sheetName val="3b"/>
      <sheetName val="3p"/>
      <sheetName val="4c"/>
      <sheetName val="4t"/>
      <sheetName val="4m"/>
      <sheetName val="4s"/>
      <sheetName val="4no"/>
      <sheetName val="4b"/>
      <sheetName val="4p"/>
      <sheetName val="5c"/>
      <sheetName val="5t"/>
      <sheetName val="5m"/>
      <sheetName val="5s"/>
      <sheetName val="5no"/>
      <sheetName val="5b"/>
      <sheetName val="5p"/>
      <sheetName val="6c"/>
      <sheetName val="6t"/>
      <sheetName val="6m"/>
      <sheetName val="6s"/>
      <sheetName val="6no"/>
      <sheetName val="6b"/>
      <sheetName val="6p"/>
      <sheetName val="7c"/>
      <sheetName val="7t"/>
      <sheetName val="7m"/>
      <sheetName val="7s"/>
      <sheetName val="7no"/>
      <sheetName val="7b"/>
      <sheetName val="7p"/>
      <sheetName val="8c"/>
      <sheetName val="8t"/>
      <sheetName val="8m"/>
      <sheetName val="8s"/>
      <sheetName val="8no"/>
      <sheetName val="8b"/>
      <sheetName val="8p"/>
      <sheetName val="9c"/>
      <sheetName val="9t"/>
      <sheetName val="9m"/>
      <sheetName val="9s"/>
      <sheetName val="9no"/>
      <sheetName val="9b"/>
      <sheetName val="9p"/>
      <sheetName val="10c"/>
      <sheetName val="10t"/>
      <sheetName val="10m"/>
      <sheetName val="10s"/>
      <sheetName val="10no"/>
      <sheetName val="10b"/>
      <sheetName val="10p"/>
      <sheetName val="11c"/>
      <sheetName val="11t"/>
      <sheetName val="11m"/>
      <sheetName val="11s"/>
      <sheetName val="11no"/>
      <sheetName val="11b"/>
      <sheetName val="11p"/>
      <sheetName val="12c"/>
      <sheetName val="12t"/>
      <sheetName val="12m"/>
      <sheetName val="12s"/>
      <sheetName val="12no"/>
      <sheetName val="12b"/>
      <sheetName val="12p"/>
      <sheetName val="13c"/>
      <sheetName val="13t"/>
      <sheetName val="13m"/>
      <sheetName val="13s"/>
      <sheetName val="13no"/>
      <sheetName val="13b"/>
      <sheetName val="13p"/>
      <sheetName val="14c"/>
      <sheetName val="14t"/>
      <sheetName val="14m"/>
      <sheetName val="14s"/>
      <sheetName val="14no"/>
      <sheetName val="14b"/>
      <sheetName val="14p"/>
      <sheetName val="15c"/>
      <sheetName val="15t"/>
      <sheetName val="15m"/>
      <sheetName val="15s"/>
      <sheetName val="15no"/>
      <sheetName val="15b"/>
      <sheetName val="15p"/>
      <sheetName val="16c"/>
      <sheetName val="16t"/>
      <sheetName val="16m"/>
      <sheetName val="16s"/>
      <sheetName val="16no"/>
      <sheetName val="16b"/>
      <sheetName val="16p"/>
      <sheetName val="17c"/>
      <sheetName val="17t"/>
      <sheetName val="17m"/>
      <sheetName val="17s"/>
      <sheetName val="17no"/>
      <sheetName val="17b"/>
      <sheetName val="17p"/>
      <sheetName val="18c"/>
      <sheetName val="18t"/>
      <sheetName val="18m"/>
      <sheetName val="18s"/>
      <sheetName val="18no"/>
      <sheetName val="18b"/>
      <sheetName val="18p"/>
      <sheetName val="19c"/>
      <sheetName val="19t"/>
      <sheetName val="19m"/>
      <sheetName val="19s"/>
      <sheetName val="19no"/>
      <sheetName val="19b"/>
      <sheetName val="19p"/>
      <sheetName val="20c"/>
      <sheetName val="20t"/>
      <sheetName val="20m"/>
      <sheetName val="20s"/>
      <sheetName val="20no"/>
      <sheetName val="20b"/>
      <sheetName val="20p"/>
      <sheetName val="21c"/>
      <sheetName val="21t"/>
      <sheetName val="21m"/>
      <sheetName val="21s"/>
      <sheetName val="21no"/>
      <sheetName val="21b"/>
      <sheetName val="21p"/>
      <sheetName val="22c"/>
      <sheetName val="22t"/>
      <sheetName val="22m"/>
      <sheetName val="22s"/>
      <sheetName val="22no"/>
      <sheetName val="22b"/>
      <sheetName val="22p"/>
      <sheetName val="23c"/>
      <sheetName val="23t"/>
      <sheetName val="23m"/>
      <sheetName val="23s"/>
      <sheetName val="23no"/>
      <sheetName val="23b"/>
      <sheetName val="23p"/>
      <sheetName val="24c"/>
      <sheetName val="24t"/>
      <sheetName val="24m"/>
      <sheetName val="24s"/>
      <sheetName val="24no"/>
      <sheetName val="24b"/>
      <sheetName val="24p"/>
      <sheetName val="25c"/>
      <sheetName val="25t"/>
      <sheetName val="25m"/>
      <sheetName val="25s"/>
      <sheetName val="25no"/>
      <sheetName val="25b"/>
      <sheetName val="25p"/>
      <sheetName val="26c"/>
      <sheetName val="26t"/>
      <sheetName val="26m"/>
      <sheetName val="26s"/>
      <sheetName val="26no"/>
      <sheetName val="26b"/>
      <sheetName val="26p"/>
      <sheetName val="27c"/>
      <sheetName val="27t"/>
      <sheetName val="27m"/>
      <sheetName val="27s"/>
      <sheetName val="27no"/>
      <sheetName val="27b"/>
      <sheetName val="27p"/>
      <sheetName val="28c"/>
      <sheetName val="28t"/>
      <sheetName val="28m"/>
      <sheetName val="28s"/>
      <sheetName val="28no"/>
      <sheetName val="28b"/>
      <sheetName val="28p"/>
      <sheetName val="29c"/>
      <sheetName val="29t"/>
      <sheetName val="29m"/>
      <sheetName val="29s"/>
      <sheetName val="29no"/>
      <sheetName val="29b"/>
      <sheetName val="29p"/>
      <sheetName val="30c"/>
      <sheetName val="30t"/>
      <sheetName val="30m"/>
      <sheetName val="30s"/>
      <sheetName val="30no"/>
      <sheetName val="30b"/>
      <sheetName val="30p"/>
      <sheetName val="31c"/>
      <sheetName val="31t"/>
      <sheetName val="31m"/>
      <sheetName val="31s"/>
      <sheetName val="31no"/>
      <sheetName val="31b"/>
      <sheetName val="31p"/>
      <sheetName val="Cons"/>
      <sheetName val="#¡REF"/>
      <sheetName val="interv"/>
      <sheetName val="Ejecución 20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 val="ex rate"/>
      <sheetName val="2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oktables"/>
      <sheetName val="(PE)"/>
      <sheetName val="(PS)"/>
      <sheetName val="Education"/>
      <sheetName val="Phillips"/>
      <sheetName val="XA-residual"/>
      <sheetName val="EGLP PL"/>
      <sheetName val="EG"/>
      <sheetName val="aq"/>
      <sheetName val="inflevel"/>
      <sheetName val="Q6"/>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oktables"/>
      <sheetName val="(PE)"/>
      <sheetName val="(PS)"/>
      <sheetName val="Education"/>
      <sheetName val="Phillips"/>
      <sheetName val="XA-residual"/>
      <sheetName val="EG"/>
      <sheetName val="inflevel"/>
      <sheetName val="EGLP PL"/>
      <sheetName val="aq"/>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NT"/>
      <sheetName val="CRC"/>
      <sheetName val="BBL"/>
      <sheetName val="VGR"/>
      <sheetName val="SRQ"/>
      <sheetName val="DRD"/>
      <sheetName val="LCS"/>
      <sheetName val="PTJ"/>
      <sheetName val="PTO"/>
      <sheetName val="MTC"/>
      <sheetName val="HSR"/>
      <sheetName val="ÑPC"/>
      <sheetName val="JLT"/>
      <sheetName val="CHG"/>
      <sheetName val="CRV"/>
      <sheetName val="TOTAL CAPEX"/>
      <sheetName val="Gráficos"/>
      <sheetName val="Sales Volumes"/>
      <sheetName val="Production By Field"/>
      <sheetName val="Turnover"/>
      <sheetName val="Participations"/>
      <sheetName val="Penalties"/>
      <sheetName val="ICH Crude"/>
      <sheetName val="ICH LPG"/>
      <sheetName val="ICH Gas"/>
      <sheetName val="Tariff"/>
      <sheetName val="OPEX"/>
      <sheetName val="DD&amp;A (Zone1)"/>
      <sheetName val="DD&amp;A (Zone2)"/>
      <sheetName val="DD&amp;A (Zone3)"/>
      <sheetName val="DD&amp;A (Zone4)"/>
      <sheetName val="SL-DD&amp;A"/>
      <sheetName val="Sales Tax"/>
      <sheetName val="VAT"/>
      <sheetName val="Other Income"/>
      <sheetName val="Income Tax"/>
      <sheetName val="P&amp;L"/>
      <sheetName val="Gov.Take"/>
      <sheetName val="Debt Chaco"/>
      <sheetName val="GTL"/>
      <sheetName val="Cash Flow"/>
      <sheetName val="Data for Board"/>
      <sheetName val="Price  Table"/>
      <sheetName val="Debt1"/>
      <sheetName val="Debt2"/>
      <sheetName val="Debt3"/>
      <sheetName val="TAX DD&amp;A"/>
      <sheetName val="Royalties"/>
      <sheetName val="Prices Summary"/>
      <sheetName val="GAS Prices"/>
      <sheetName val="GSA Price"/>
      <sheetName val="Royalty Prices"/>
      <sheetName val="Participation Prices"/>
      <sheetName val="TOTAL_CAPEX"/>
      <sheetName val="Sales_Volumes"/>
      <sheetName val="Production_By_Field"/>
      <sheetName val="ICH_Crude"/>
      <sheetName val="ICH_LPG"/>
      <sheetName val="ICH_Gas"/>
      <sheetName val="DD&amp;A_(Zone1)"/>
      <sheetName val="DD&amp;A_(Zone2)"/>
      <sheetName val="DD&amp;A_(Zone3)"/>
      <sheetName val="DD&amp;A_(Zone4)"/>
      <sheetName val="Sales_Tax"/>
      <sheetName val="Other_Income"/>
      <sheetName val="Income_Tax"/>
      <sheetName val="Gov_Take"/>
      <sheetName val="Debt_Chaco"/>
      <sheetName val="Cash_Flow"/>
      <sheetName val="Data_for_Board"/>
      <sheetName val="Price__Table"/>
      <sheetName val="TAX_DD&amp;A"/>
      <sheetName val="Prices_Summary"/>
      <sheetName val="GAS_Prices"/>
      <sheetName val="GSA_Price"/>
      <sheetName val="Royalty_Prices"/>
      <sheetName val="Participation_Prices"/>
      <sheetName val="TOTAL_CAPEX1"/>
      <sheetName val="Sales_Volumes1"/>
      <sheetName val="Production_By_Field1"/>
      <sheetName val="ICH_Crude1"/>
      <sheetName val="ICH_LPG1"/>
      <sheetName val="ICH_Gas1"/>
      <sheetName val="DD&amp;A_(Zone1)1"/>
      <sheetName val="DD&amp;A_(Zone2)1"/>
      <sheetName val="DD&amp;A_(Zone3)1"/>
      <sheetName val="DD&amp;A_(Zone4)1"/>
      <sheetName val="Sales_Tax1"/>
      <sheetName val="Other_Income1"/>
      <sheetName val="Income_Tax1"/>
      <sheetName val="Gov_Take1"/>
      <sheetName val="Debt_Chaco1"/>
      <sheetName val="Cash_Flow1"/>
      <sheetName val="Data_for_Board1"/>
      <sheetName val="Price__Table1"/>
      <sheetName val="TAX_DD&amp;A1"/>
      <sheetName val="Prices_Summary1"/>
      <sheetName val="GAS_Prices1"/>
      <sheetName val="GSA_Price1"/>
      <sheetName val="Royalty_Prices1"/>
      <sheetName val="Participation_Prices1"/>
      <sheetName val="TOTAL_CAPEX2"/>
      <sheetName val="Sales_Volumes2"/>
      <sheetName val="Production_By_Field2"/>
      <sheetName val="ICH_Crude2"/>
      <sheetName val="ICH_LPG2"/>
      <sheetName val="ICH_Gas2"/>
      <sheetName val="DD&amp;A_(Zone1)2"/>
      <sheetName val="DD&amp;A_(Zone2)2"/>
      <sheetName val="DD&amp;A_(Zone3)2"/>
      <sheetName val="DD&amp;A_(Zone4)2"/>
      <sheetName val="Sales_Tax2"/>
      <sheetName val="Other_Income2"/>
      <sheetName val="Income_Tax2"/>
      <sheetName val="Gov_Take2"/>
      <sheetName val="Debt_Chaco2"/>
      <sheetName val="Cash_Flow2"/>
      <sheetName val="Data_for_Board2"/>
      <sheetName val="Price__Table2"/>
      <sheetName val="TAX_DD&amp;A2"/>
      <sheetName val="Prices_Summary2"/>
      <sheetName val="GAS_Prices2"/>
      <sheetName val="GSA_Price2"/>
      <sheetName val="Royalty_Prices2"/>
      <sheetName val="Participation_Prices2"/>
      <sheetName val="TOTAL_CAPEX3"/>
      <sheetName val="Sales_Volumes3"/>
      <sheetName val="Production_By_Field3"/>
      <sheetName val="ICH_Crude3"/>
      <sheetName val="ICH_LPG3"/>
      <sheetName val="ICH_Gas3"/>
      <sheetName val="DD&amp;A_(Zone1)3"/>
      <sheetName val="DD&amp;A_(Zone2)3"/>
      <sheetName val="DD&amp;A_(Zone3)3"/>
      <sheetName val="DD&amp;A_(Zone4)3"/>
      <sheetName val="Sales_Tax3"/>
      <sheetName val="Other_Income3"/>
      <sheetName val="Income_Tax3"/>
      <sheetName val="Gov_Take3"/>
      <sheetName val="Debt_Chaco3"/>
      <sheetName val="Cash_Flow3"/>
      <sheetName val="Data_for_Board3"/>
      <sheetName val="Price__Table3"/>
      <sheetName val="TAX_DD&amp;A3"/>
      <sheetName val="Prices_Summary3"/>
      <sheetName val="GAS_Prices3"/>
      <sheetName val="GSA_Price3"/>
      <sheetName val="Royalty_Prices3"/>
      <sheetName val="Participation_Prices3"/>
      <sheetName val="flc chimoré"/>
      <sheetName val="monimp"/>
      <sheetName val="interv"/>
      <sheetName val="fiscout"/>
      <sheetName val="Book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CG 81-96"/>
      <sheetName val="GLP 84-96"/>
      <sheetName val="G61-99"/>
      <sheetName val="Hoja1"/>
      <sheetName val="EPG"/>
      <sheetName val="DGL"/>
      <sheetName val="EG"/>
      <sheetName val="ENT-G-98"/>
      <sheetName val="GEQ"/>
      <sheetName val="2s"/>
      <sheetName val="LLuvias"/>
      <sheetName val="conciliacion de reservas"/>
      <sheetName val="PCG_81-96"/>
      <sheetName val="GLP_84-96"/>
      <sheetName val="conciliacion_de_reservas"/>
      <sheetName val="PCG_81-961"/>
      <sheetName val="GLP_84-961"/>
      <sheetName val="PCG_81-962"/>
      <sheetName val="GLP_84-962"/>
      <sheetName val="conciliacion_de_reservas1"/>
      <sheetName val="PCG_81-963"/>
      <sheetName val="GLP_84-963"/>
      <sheetName val="conciliacion_de_reservas2"/>
      <sheetName val="PCG_81-964"/>
      <sheetName val="GLP_84-964"/>
      <sheetName val="conciliacion_de_reservas3"/>
      <sheetName val="PCG_81-965"/>
      <sheetName val="GLP_84-965"/>
      <sheetName val="conciliacion_de_reservas4"/>
      <sheetName val="Current Period BV (2)"/>
      <sheetName val="wb"/>
      <sheetName val="er"/>
      <sheetName val="monimp"/>
      <sheetName val="interv"/>
      <sheetName val="fiscout"/>
      <sheetName val="inf_varios"/>
      <sheetName val="inf_areas"/>
      <sheetName val="GSA Price"/>
      <sheetName val="PCG_81-966"/>
      <sheetName val="GLP_84-966"/>
      <sheetName val="conciliacion_de_reservas5"/>
      <sheetName val="PCG_81-967"/>
      <sheetName val="GLP_84-967"/>
      <sheetName val="conciliacion_de_reservas6"/>
      <sheetName val="PCG_81-968"/>
      <sheetName val="GLP_84-968"/>
      <sheetName val="conciliacion_de_reservas7"/>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at-if"/>
      <sheetName val="Ratio-DSCR"/>
      <sheetName val="Assum."/>
      <sheetName val="Sensitivity"/>
      <sheetName val="Fin Charts"/>
      <sheetName val="Tables"/>
      <sheetName val="Chaco"/>
      <sheetName val="MAA"/>
      <sheetName val="Charts"/>
      <sheetName val="Fert. Market"/>
      <sheetName val="IGAN Market"/>
      <sheetName val="Prod. Cost"/>
      <sheetName val="Blend. Cost"/>
      <sheetName val="Loans"/>
      <sheetName val="DSRA"/>
      <sheetName val="P &amp; L"/>
      <sheetName val="IGAN P &amp; L"/>
      <sheetName val="FGAN P &amp; L"/>
      <sheetName val="Balance"/>
      <sheetName val="Capex"/>
      <sheetName val="Cash Flow"/>
      <sheetName val="FRR-ERR"/>
      <sheetName val="VAT"/>
      <sheetName val="IT"/>
      <sheetName val="IUE"/>
      <sheetName val="VAT Activity"/>
      <sheetName val="Assum_"/>
      <sheetName val="Fin_Charts"/>
      <sheetName val="Fert__Market"/>
      <sheetName val="IGAN_Market"/>
      <sheetName val="Prod__Cost"/>
      <sheetName val="Blend__Cost"/>
      <sheetName val="P_&amp;_L"/>
      <sheetName val="IGAN_P_&amp;_L"/>
      <sheetName val="FGAN_P_&amp;_L"/>
      <sheetName val="Cash_Flow"/>
      <sheetName val="VAT_Activity"/>
      <sheetName val="Assum_1"/>
      <sheetName val="Fin_Charts1"/>
      <sheetName val="Fert__Market1"/>
      <sheetName val="IGAN_Market1"/>
      <sheetName val="Prod__Cost1"/>
      <sheetName val="Blend__Cost1"/>
      <sheetName val="P_&amp;_L1"/>
      <sheetName val="IGAN_P_&amp;_L1"/>
      <sheetName val="FGAN_P_&amp;_L1"/>
      <sheetName val="Cash_Flow1"/>
      <sheetName val="VAT_Activity1"/>
      <sheetName val="Assum_2"/>
      <sheetName val="Fin_Charts2"/>
      <sheetName val="Fert__Market2"/>
      <sheetName val="IGAN_Market2"/>
      <sheetName val="Prod__Cost2"/>
      <sheetName val="Blend__Cost2"/>
      <sheetName val="P_&amp;_L2"/>
      <sheetName val="IGAN_P_&amp;_L2"/>
      <sheetName val="FGAN_P_&amp;_L2"/>
      <sheetName val="Cash_Flow2"/>
      <sheetName val="VAT_Activity2"/>
      <sheetName val="Assum_3"/>
      <sheetName val="Fin_Charts3"/>
      <sheetName val="Fert__Market3"/>
      <sheetName val="IGAN_Market3"/>
      <sheetName val="Prod__Cost3"/>
      <sheetName val="Blend__Cost3"/>
      <sheetName val="P_&amp;_L3"/>
      <sheetName val="IGAN_P_&amp;_L3"/>
      <sheetName val="FGAN_P_&amp;_L3"/>
      <sheetName val="Cash_Flow3"/>
      <sheetName val="VAT_Activity3"/>
      <sheetName val="Assum_4"/>
      <sheetName val="Fin_Charts4"/>
      <sheetName val="Fert__Market4"/>
      <sheetName val="IGAN_Market4"/>
      <sheetName val="Prod__Cost4"/>
      <sheetName val="Blend__Cost4"/>
      <sheetName val="P_&amp;_L4"/>
      <sheetName val="IGAN_P_&amp;_L4"/>
      <sheetName val="FGAN_P_&amp;_L4"/>
      <sheetName val="Cash_Flow4"/>
      <sheetName val="VAT_Activity4"/>
      <sheetName val="Assum_5"/>
      <sheetName val="Fin_Charts5"/>
      <sheetName val="Fert__Market5"/>
      <sheetName val="IGAN_Market5"/>
      <sheetName val="Prod__Cost5"/>
      <sheetName val="Blend__Cost5"/>
      <sheetName val="P_&amp;_L5"/>
      <sheetName val="IGAN_P_&amp;_L5"/>
      <sheetName val="FGAN_P_&amp;_L5"/>
      <sheetName val="Cash_Flow5"/>
      <sheetName val="VAT_Activity5"/>
      <sheetName val="CARTERA AHORRO DEP"/>
      <sheetName val="CARTERA AHORRO DEP (2)"/>
      <sheetName val="wb"/>
      <sheetName val="er"/>
      <sheetName val="DGL"/>
      <sheetName val="Assum_6"/>
      <sheetName val="Fin_Charts6"/>
      <sheetName val="Fert__Market6"/>
      <sheetName val="IGAN_Market6"/>
      <sheetName val="Prod__Cost6"/>
      <sheetName val="Blend__Cost6"/>
      <sheetName val="P_&amp;_L6"/>
      <sheetName val="IGAN_P_&amp;_L6"/>
      <sheetName val="FGAN_P_&amp;_L6"/>
      <sheetName val="Cash_Flow6"/>
      <sheetName val="VAT_Activity6"/>
      <sheetName val="Assum_7"/>
      <sheetName val="Fin_Charts7"/>
      <sheetName val="Fert__Market7"/>
      <sheetName val="IGAN_Market7"/>
      <sheetName val="Prod__Cost7"/>
      <sheetName val="Blend__Cost7"/>
      <sheetName val="P_&amp;_L7"/>
      <sheetName val="IGAN_P_&amp;_L7"/>
      <sheetName val="FGAN_P_&amp;_L7"/>
      <sheetName val="Cash_Flow7"/>
      <sheetName val="VAT_Activity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EC"/>
      <sheetName val="VPO"/>
      <sheetName val="GOP"/>
      <sheetName val="GIP"/>
      <sheetName val="GCO"/>
      <sheetName val="UND"/>
      <sheetName val="LIST"/>
      <sheetName val="FUNC"/>
      <sheetName val="Desembolsos IDH"/>
      <sheetName val="partidas"/>
      <sheetName val="DATOS"/>
      <sheetName val="Hoja1"/>
      <sheetName val="Listas"/>
      <sheetName val="A. Datos Generales"/>
      <sheetName val="Hoja2"/>
      <sheetName val="FECHAS"/>
      <sheetName val="Hoja6"/>
      <sheetName val="CATÁLOGOS"/>
      <sheetName val="Hoja3"/>
      <sheetName val="Desembolsos_IDH"/>
      <sheetName val="Desembolsos_IDH1"/>
      <sheetName val="A__Datos_Generales"/>
      <sheetName val="A. Datos Grales."/>
      <sheetName val="eje 2004"/>
      <sheetName val="seignior"/>
      <sheetName val="Tables"/>
      <sheetName val="What-if"/>
      <sheetName val="Fin Charts"/>
      <sheetName val="Sensitivity"/>
      <sheetName val="Desembolsos_IDH2"/>
      <sheetName val="A__Datos_Generales1"/>
      <sheetName val="Desembolsos_IDH3"/>
      <sheetName val="A__Datos_Generales2"/>
      <sheetName val="Desembolsos_IDH4"/>
      <sheetName val="A__Datos_Generales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de Comprobantes"/>
      <sheetName val="FREC"/>
      <sheetName val="FUNC"/>
    </sheetNames>
    <sheetDataSet>
      <sheetData sheetId="0" refreshError="1"/>
      <sheetData sheetId="1" refreshError="1"/>
      <sheetData sheetId="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sheetName val="Consulta2_final"/>
      <sheetName val="ACTUAL"/>
      <sheetName val="TOTALES"/>
      <sheetName val="ANTERIOR"/>
      <sheetName val="Tabla de Comprobantes"/>
    </sheetNames>
    <sheetDataSet>
      <sheetData sheetId="0"/>
      <sheetData sheetId="1"/>
      <sheetData sheetId="2"/>
      <sheetData sheetId="3"/>
      <sheetData sheetId="4"/>
      <sheetData sheetId="5"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1"/>
      <sheetName val="table1a"/>
      <sheetName val="table2"/>
      <sheetName val="table2sdr"/>
      <sheetName val="table3"/>
      <sheetName val="table4"/>
      <sheetName val=" graph"/>
      <sheetName val="graph2"/>
      <sheetName val="ControlSheet"/>
      <sheetName val="download"/>
      <sheetName val="data"/>
      <sheetName val="print"/>
      <sheetName val="copy"/>
      <sheetName val="tab4macro"/>
      <sheetName val="Module1"/>
      <sheetName val="Module4"/>
      <sheetName val="A"/>
      <sheetName val="VM"/>
      <sheetName val="summary bop"/>
      <sheetName val="Consulta2_final"/>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PRECIOS"/>
      <sheetName val="RESULTADOS"/>
      <sheetName val="SREAL"/>
      <sheetName val="SEXTERNOREV"/>
      <sheetName val="SEXTERNO"/>
      <sheetName val="SFISCAL-MOD"/>
      <sheetName val="SFISCAL-CONSOL"/>
      <sheetName val="SMONET-FINANC"/>
      <sheetName val="SMONET-FIN-MOD"/>
      <sheetName val="NO"/>
      <sheetName val="SFISCAL_MOD"/>
      <sheetName val="SMONET_FINANC"/>
      <sheetName val="Q1"/>
      <sheetName val="private"/>
      <sheetName val="pape-98"/>
      <sheetName val="table1"/>
      <sheetName val="summary b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ección Volúmenes"/>
      <sheetName val="Presupuesto Ventas"/>
      <sheetName val="Presupuesto Compras"/>
      <sheetName val="ACL"/>
      <sheetName val="private"/>
      <sheetName val="PresupuestoVentasCompras2009 V2"/>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 val="M"/>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 sheetId="1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2005oec"/>
      <sheetName val="ASD FEB 2010 2DO Escenario"/>
      <sheetName val="listas"/>
      <sheetName val="C"/>
      <sheetName val="programa"/>
    </sheetNames>
    <sheetDataSet>
      <sheetData sheetId="0"/>
      <sheetData sheetId="1" refreshError="1"/>
      <sheetData sheetId="2"/>
      <sheetData sheetId="3"/>
      <sheetData sheetId="4"/>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es"/>
      <sheetName val="Compare"/>
      <sheetName val="Table1"/>
      <sheetName val="Table2"/>
      <sheetName val="Table3"/>
      <sheetName val="Table4"/>
      <sheetName val="Current"/>
      <sheetName val="Previous"/>
      <sheetName val="ControlSheet"/>
      <sheetName val="Weights"/>
      <sheetName val="Sheet1"/>
      <sheetName val="Sheet2"/>
      <sheetName val="Sheet3"/>
      <sheetName val="cxc cp ypfb 24.08.11"/>
      <sheetName val="programa"/>
      <sheetName val="GE Calculation"/>
      <sheetName val="a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 val="Servicio Deuda Nuev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Tab1"/>
      <sheetName val="Tab2"/>
      <sheetName val="Tab4"/>
      <sheetName val="Tab6"/>
      <sheetName val="Tab11"/>
      <sheetName val="Tab13"/>
      <sheetName val="Tab_NatAcct"/>
      <sheetName val="Tab_MonProg"/>
      <sheetName val="Tab_NPV Debt"/>
      <sheetName val="Checks"/>
      <sheetName val="Real"/>
      <sheetName val="Fiscal"/>
      <sheetName val="Money"/>
      <sheetName val="Shared Data_A"/>
      <sheetName val="New Basic Table"/>
      <sheetName val="218SEI"/>
      <sheetName val="Public Debt"/>
      <sheetName val="MonProg"/>
      <sheetName val="Data Input"/>
      <sheetName val="Workarea"/>
      <sheetName val="Basic Data Table"/>
      <sheetName val="append"/>
      <sheetName val="sheet1"/>
      <sheetName val="DA"/>
      <sheetName val="Micro"/>
      <sheetName val="Q1"/>
      <sheetName val="Q2"/>
      <sheetName val="Q3"/>
      <sheetName val="Q4"/>
      <sheetName val="Q5"/>
      <sheetName val="Q6"/>
      <sheetName val="Q7"/>
      <sheetName val="Q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
      <sheetName val="5"/>
      <sheetName val="6"/>
      <sheetName val="7"/>
      <sheetName val="8"/>
      <sheetName val="9"/>
      <sheetName val="10"/>
      <sheetName val="13"/>
      <sheetName val="14"/>
      <sheetName val="15"/>
      <sheetName val="16"/>
      <sheetName val="17"/>
      <sheetName val="18"/>
      <sheetName val="19"/>
      <sheetName val="21"/>
      <sheetName val="22"/>
      <sheetName val="23"/>
      <sheetName val="24"/>
      <sheetName val="26"/>
      <sheetName val="27"/>
      <sheetName val="28"/>
      <sheetName val="cxc cp ypfb 24.08.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 val="GRAFICOS"/>
      <sheetName val="18"/>
      <sheetName val="13"/>
      <sheetName val="7"/>
      <sheetName val="9"/>
      <sheetName val="5"/>
      <sheetName val="10"/>
      <sheetName val="6"/>
      <sheetName val="19"/>
      <sheetName val="8"/>
      <sheetName val="4"/>
      <sheetName val="28"/>
      <sheetName val="17"/>
      <sheetName val="Refor_09-03-06"/>
      <sheetName val="Refor_07-04-06"/>
      <sheetName val="Bonos_RevEje_DEF"/>
      <sheetName val="DIF_Prog"/>
      <sheetName val="Sit_Fis"/>
      <sheetName val="Ejecución_2004"/>
      <sheetName val="Share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eva Deuda"/>
      <sheetName val="Servicio Deuda Nueva"/>
      <sheetName val="Deuda Vieja"/>
      <sheetName val="index"/>
      <sheetName val="sap pa dr cp 01.09.09"/>
      <sheetName val="C"/>
      <sheetName val="annual tables"/>
      <sheetName val="annual raw data"/>
      <sheetName val="Assumptions"/>
      <sheetName val="Fund"/>
      <sheetName val="quarterly raw data"/>
      <sheetName val="quarterly macroflow"/>
      <sheetName val="Retroactivos"/>
      <sheetName val="Nueva_Deuda"/>
      <sheetName val="Servicio_Deuda_Nueva"/>
      <sheetName val="Deuda_Vieja"/>
      <sheetName val="Nueva_Deuda1"/>
      <sheetName val="Servicio_Deuda_Nueva1"/>
      <sheetName val="Deuda_Vieja1"/>
      <sheetName val="Nueva_Deuda2"/>
      <sheetName val="Servicio_Deuda_Nueva2"/>
      <sheetName val="Deuda_Viej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listas"/>
      <sheetName val="C"/>
      <sheetName val="2005oec"/>
      <sheetName val="ASD FEB 2010 2DO Escenario"/>
      <sheetName val="Servicio Deuda Nueva"/>
      <sheetName val="PV_Targets"/>
      <sheetName val="GE_Calculation"/>
      <sheetName val="Chart_Data"/>
      <sheetName val="Panel_Chart"/>
      <sheetName val="Chart_Data_-_Remit"/>
      <sheetName val="Panel_Chart_-_Remit"/>
      <sheetName val="Stress_tests_Fiscal"/>
      <sheetName val="Stress_test_External"/>
      <sheetName val="Stress_test_External_-_Remit"/>
      <sheetName val="Table_baseline_Fiscal"/>
      <sheetName val="Table_baseline_External"/>
      <sheetName val="A2_PB_unchanged-fiscal"/>
      <sheetName val="A3_LR_growth-fiscal"/>
      <sheetName val="B5_other_flows-fiscal"/>
      <sheetName val="Customized_Scenario-fiscal"/>
      <sheetName val="B4_non-debt_flows"/>
      <sheetName val="Customized_Scenario-External"/>
      <sheetName val="PV_Stress"/>
      <sheetName val="PV_Stress_A2"/>
      <sheetName val="Output_Database"/>
      <sheetName val="PV_Targets1"/>
      <sheetName val="GE_Calculation1"/>
      <sheetName val="Chart_Data1"/>
      <sheetName val="Panel_Chart1"/>
      <sheetName val="Chart_Data_-_Remit1"/>
      <sheetName val="Panel_Chart_-_Remit1"/>
      <sheetName val="Stress_tests_Fiscal1"/>
      <sheetName val="Stress_test_External1"/>
      <sheetName val="Stress_test_External_-_Remit1"/>
      <sheetName val="Table_baseline_Fiscal1"/>
      <sheetName val="Table_baseline_External1"/>
      <sheetName val="A2_PB_unchanged-fiscal1"/>
      <sheetName val="A3_LR_growth-fiscal1"/>
      <sheetName val="B5_other_flows-fiscal1"/>
      <sheetName val="Customized_Scenario-fiscal1"/>
      <sheetName val="B4_non-debt_flows1"/>
      <sheetName val="Customized_Scenario-External1"/>
      <sheetName val="PV_Stress1"/>
      <sheetName val="PV_Stress_A21"/>
      <sheetName val="Output_Database1"/>
      <sheetName val="PV_Targets2"/>
      <sheetName val="GE_Calculation2"/>
      <sheetName val="Chart_Data2"/>
      <sheetName val="Panel_Chart2"/>
      <sheetName val="Chart_Data_-_Remit2"/>
      <sheetName val="Panel_Chart_-_Remit2"/>
      <sheetName val="Stress_tests_Fiscal2"/>
      <sheetName val="Stress_test_External2"/>
      <sheetName val="Stress_test_External_-_Remit2"/>
      <sheetName val="Table_baseline_Fiscal2"/>
      <sheetName val="Table_baseline_External2"/>
      <sheetName val="A2_PB_unchanged-fiscal2"/>
      <sheetName val="A3_LR_growth-fiscal2"/>
      <sheetName val="B5_other_flows-fiscal2"/>
      <sheetName val="Customized_Scenario-fiscal2"/>
      <sheetName val="B4_non-debt_flows2"/>
      <sheetName val="Customized_Scenario-External2"/>
      <sheetName val="PV_Stress2"/>
      <sheetName val="PV_Stress_A22"/>
      <sheetName val="Output_Database2"/>
    </sheetNames>
    <sheetDataSet>
      <sheetData sheetId="0"/>
      <sheetData sheetId="1" refreshError="1"/>
      <sheetData sheetId="2"/>
      <sheetData sheetId="3"/>
      <sheetData sheetId="4"/>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
      <sheetName val="BCR"/>
      <sheetName val="BMI"/>
      <sheetName val="BC"/>
      <sheetName val="FIN"/>
      <sheetName val="BCYFIN"/>
      <sheetName val="SB"/>
      <sheetName val="SF"/>
      <sheetName val="Sergio BC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 GENERAL"/>
      <sheetName val="BULO-BULO"/>
      <sheetName val="CARRASCO"/>
      <sheetName val="HSR"/>
      <sheetName val="LOS CUSIS"/>
      <sheetName val="MONTE CRISTO"/>
      <sheetName val="PATUJUSAL"/>
      <sheetName val="PATUJUSAL OESTE"/>
      <sheetName val="SAN ROQUE"/>
      <sheetName val="V.GRANDE"/>
      <sheetName val="ÑUPUCO"/>
      <sheetName val="KATARI"/>
      <sheetName val="CMT"/>
      <sheetName val="BVT"/>
      <sheetName val="VOL TRANS"/>
      <sheetName val="BOMB DIST"/>
      <sheetName val="1ra Quincena"/>
      <sheetName val="2ra Quincena"/>
      <sheetName val="PD  PROCESO"/>
      <sheetName val=" Bruto Fiscalizada"/>
      <sheetName val="FISCALIZADO"/>
      <sheetName val=""/>
      <sheetName val="13 -ME"/>
      <sheetName val="PROD_GENERAL"/>
      <sheetName val="LOS_CUSIS"/>
      <sheetName val="MONTE_CRISTO"/>
      <sheetName val="PATUJUSAL_OESTE"/>
      <sheetName val="SAN_ROQUE"/>
      <sheetName val="V_GRANDE"/>
      <sheetName val="VOL_TRANS"/>
      <sheetName val="BOMB_DIST"/>
      <sheetName val="1ra_Quincena"/>
      <sheetName val="2ra_Quincena"/>
      <sheetName val="PD__PROCESO"/>
      <sheetName val="_Bruto_Fiscalizada"/>
      <sheetName val="13_-ME"/>
      <sheetName val="Flujo de Caja"/>
      <sheetName val="F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e"/>
      <sheetName val="Gráfico"/>
      <sheetName val="Datos"/>
      <sheetName val="Parámetros"/>
      <sheetName val="Diálogo1"/>
      <sheetName val="Macro1"/>
      <sheetName val="Módulo1"/>
      <sheetName val="E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Hoja1"/>
      <sheetName val="DATA GAS NATURAL"/>
      <sheetName val="REF. MES ANH OK"/>
    </sheetNames>
    <sheetDataSet>
      <sheetData sheetId="0"/>
      <sheetData sheetId="1"/>
      <sheetData sheetId="2" refreshError="1"/>
      <sheetData sheetId="3"/>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e Datos Proyecciones"/>
    </sheetNames>
    <sheetDataSet>
      <sheetData sheetId="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AP PROFIT AND LOSS TB"/>
      <sheetName val="GAAP BALANCE SHEET TB"/>
      <sheetName val="BS index"/>
      <sheetName val="BS TO PAE"/>
      <sheetName val="BS ANALYSIS"/>
      <sheetName val="PAE TABLE"/>
      <sheetName val="Requerimientos contables"/>
      <sheetName val="GAAP_PROFIT_AND_LOSS_TB"/>
      <sheetName val="GAAP_BALANCE_SHEET_TB"/>
      <sheetName val="BS_index"/>
      <sheetName val="BS_TO_PAE"/>
      <sheetName val="BS_ANALYSIS"/>
      <sheetName val="PAE_TABLE"/>
      <sheetName val="Requerimientos_contables"/>
      <sheetName val="GAAP_PROFIT_AND_LOSS_TB1"/>
      <sheetName val="GAAP_BALANCE_SHEET_TB1"/>
      <sheetName val="BS_index1"/>
      <sheetName val="BS_TO_PAE1"/>
      <sheetName val="BS_ANALYSIS1"/>
      <sheetName val="PAE_TABLE1"/>
      <sheetName val="Requerimientos_contables1"/>
      <sheetName val="GAAP_PROFIT_AND_LOSS_TB2"/>
      <sheetName val="GAAP_BALANCE_SHEET_TB2"/>
      <sheetName val="BS_index2"/>
      <sheetName val="BS_TO_PAE2"/>
      <sheetName val="BS_ANALYSIS2"/>
      <sheetName val="PAE_TABLE2"/>
      <sheetName val="Requerimientos_contables2"/>
      <sheetName val="GAAP_PROFIT_AND_LOSS_TB3"/>
      <sheetName val="GAAP_BALANCE_SHEET_TB3"/>
      <sheetName val="BS_index3"/>
      <sheetName val="BS_TO_PAE3"/>
      <sheetName val="BS_ANALYSIS3"/>
      <sheetName val="PAE_TABLE3"/>
      <sheetName val="Requerimientos_contables3"/>
      <sheetName val="GAAP_PROFIT_AND_LOSS_TB4"/>
      <sheetName val="GAAP_BALANCE_SHEET_TB4"/>
      <sheetName val="BS_index4"/>
      <sheetName val="BS_TO_PAE4"/>
      <sheetName val="BS_ANALYSIS4"/>
      <sheetName val="PAE_TABLE4"/>
      <sheetName val="Requerimientos_contables4"/>
      <sheetName val=" PROY_2019"/>
      <sheetName val="GAAP_PROFIT_AND_LOSS_TB5"/>
      <sheetName val="GAAP_BALANCE_SHEET_TB5"/>
      <sheetName val="BS_index5"/>
      <sheetName val="BS_TO_PAE5"/>
      <sheetName val="BS_ANALYSIS5"/>
      <sheetName val="PAE_TABLE5"/>
      <sheetName val="Requerimientos_contables5"/>
      <sheetName val="ops"/>
      <sheetName val="cgvt rev"/>
      <sheetName val="nfpentps"/>
      <sheetName val="contents"/>
      <sheetName val="Base de Datos Proyecciones"/>
      <sheetName val="NA"/>
      <sheetName val="GAAP_PROFIT_AND_LOSS_TB6"/>
      <sheetName val="GAAP_BALANCE_SHEET_TB6"/>
      <sheetName val="BS_index6"/>
      <sheetName val="BS_TO_PAE6"/>
      <sheetName val="BS_ANALYSIS6"/>
      <sheetName val="PAE_TABLE6"/>
      <sheetName val="Requerimientos_contables6"/>
      <sheetName val="GAAP_PROFIT_AND_LOSS_TB7"/>
      <sheetName val="GAAP_BALANCE_SHEET_TB7"/>
      <sheetName val="BS_index7"/>
      <sheetName val="BS_TO_PAE7"/>
      <sheetName val="BS_ANALYSIS7"/>
      <sheetName val="PAE_TABLE7"/>
      <sheetName val="Requerimientos_contables7"/>
    </sheetNames>
    <sheetDataSet>
      <sheetData sheetId="0"/>
      <sheetData sheetId="1"/>
      <sheetData sheetId="2"/>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CPI"/>
      <sheetName val="CPI graph"/>
      <sheetName val="NA86-87n"/>
      <sheetName val="NA86-87r"/>
      <sheetName val="Aggrn"/>
      <sheetName val="Aggrr"/>
      <sheetName val="Deflators"/>
      <sheetName val="Assum"/>
      <sheetName val="Input-Output"/>
      <sheetName val="NA"/>
      <sheetName val="NA (2)"/>
      <sheetName val="Input"/>
      <sheetName val="output_W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eva Deuda"/>
      <sheetName val="Servicio Deuda Nueva"/>
      <sheetName val="Deuda Vieja"/>
      <sheetName val="annual tables"/>
      <sheetName val="annual raw data"/>
      <sheetName val="Assumptions"/>
      <sheetName val="Fund"/>
      <sheetName val="quarterly raw data"/>
      <sheetName val="quarterly macroflow"/>
      <sheetName val="index"/>
      <sheetName val="sap pa dr cp 01.09.09"/>
      <sheetName val="C"/>
      <sheetName val="serv&amp;tra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IEHD"/>
      <sheetName val="Hoja2"/>
      <sheetName val="Hoja3"/>
      <sheetName val="RESUMEN-Tasa"/>
      <sheetName val="Booktables"/>
      <sheetName val="assumptions"/>
      <sheetName val="serv&amp;trans"/>
      <sheetName val="A"/>
      <sheetName val="VM"/>
      <sheetName val="input"/>
      <sheetName val="output"/>
      <sheetName val="C"/>
      <sheetName val="trade"/>
      <sheetName val="res"/>
      <sheetName val="basemone"/>
      <sheetName val="alternativas"/>
      <sheetName val="evaluación socioeconómica"/>
      <sheetName val="ALNG Schedule"/>
      <sheetName val="Data sheet"/>
      <sheetName val="ALNG"/>
      <sheetName val="S&amp;PD"/>
      <sheetName val="Finance"/>
      <sheetName val="WEPO"/>
      <sheetName val="Expl"/>
      <sheetName val="14 point profile"/>
      <sheetName val="LossPrevent"/>
      <sheetName val="NCMA Schedule"/>
      <sheetName val="C&amp;P-Supply Chain"/>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 val="GRAFICOS"/>
      <sheetName val="Macro1"/>
      <sheetName val="J(Priv.Cap)"/>
      <sheetName val="Refor_09-03-06"/>
      <sheetName val="Refor_07-04-06"/>
      <sheetName val="Bonos_RevEje_DEF"/>
      <sheetName val="DIF_Prog"/>
      <sheetName val="Sit_Fis"/>
      <sheetName val="Ejecución_2004"/>
      <sheetName val="Share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3"/>
      <sheetName val="2004"/>
      <sheetName val="Usuarios"/>
      <sheetName val="Hoja2"/>
      <sheetName val="A"/>
      <sheetName val="VM"/>
      <sheetName val="input"/>
      <sheetName val="output"/>
      <sheetName val="C"/>
      <sheetName val="trade"/>
      <sheetName val="res"/>
      <sheetName val="BONOS"/>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ido"/>
      <sheetName val="Supuestos"/>
      <sheetName val="Otros ingresos"/>
      <sheetName val="CtasNacs"/>
      <sheetName val="CtasNacs_Revisión"/>
      <sheetName val="GobGen"/>
      <sheetName val="BdPagos"/>
      <sheetName val="GobGen0"/>
      <sheetName val="GobGen (2)"/>
      <sheetName val="EP0"/>
      <sheetName val="EP"/>
      <sheetName val="SPNF0"/>
      <sheetName val="SPNF"/>
      <sheetName val="Monetario"/>
      <sheetName val="MMF"/>
      <sheetName val="Deuda"/>
      <sheetName val="Deuda interna"/>
      <sheetName val="Hidrocarburos"/>
      <sheetName val="PMF_Inversión"/>
      <sheetName val="Deuda Proyectada"/>
      <sheetName val="SERVICIO DEUDA NUEVA"/>
      <sheetName val="Deuda Contratada"/>
      <sheetName val="MMF (2)"/>
      <sheetName val="Deuda Total "/>
      <sheetName val="Hoja1"/>
      <sheetName val="Hidrocarburos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CA"/>
      <sheetName val="EXP1998"/>
      <sheetName val="EXP2002"/>
      <sheetName val="extrapol 2002mens"/>
      <sheetName val="precios"/>
      <sheetName val="Hoja1"/>
      <sheetName val="Hoja3"/>
      <sheetName val="extrapol_2002mens"/>
      <sheetName val="extrapol_2002mens1"/>
      <sheetName val="extrapol_2002mens2"/>
      <sheetName val="extrapol_2002mens3"/>
      <sheetName val="extrapol_2002mens4"/>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l forecast"/>
      <sheetName val="REER"/>
    </sheetNames>
    <sheetDataSet>
      <sheetData sheetId="0"/>
      <sheetData sheetId="1"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cución 2004"/>
      <sheetName val="IUE PERIODO ABR-MAR"/>
      <sheetName val="Proyección 2006"/>
      <sheetName val="28421"/>
      <sheetName val="Comparación 3058 vs 1689"/>
      <sheetName val="Analisis 1689 vs 3058"/>
      <sheetName val="cuadro 7"/>
      <sheetName val="ANEXO 3_MEMORIA DE CALCULO"/>
      <sheetName val="FORM. PPA-1"/>
      <sheetName val="FORM. PPA-2"/>
      <sheetName val="ANEXO 1"/>
      <sheetName val="ANEXO 2"/>
      <sheetName val="ANEXO 3"/>
      <sheetName val="ANEXO 4 "/>
      <sheetName val="ANEXO 5"/>
      <sheetName val="ANEXO 6"/>
      <sheetName val="ANEXO 7"/>
      <sheetName val="ANEXO 8 "/>
      <sheetName val="ANEXO 9"/>
      <sheetName val="ANEXO 10"/>
      <sheetName val="ANEXO 13"/>
      <sheetName val="ANEXO 14"/>
      <sheetName val="ANEXO 15"/>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T"/>
      <sheetName val="EBIH 2010"/>
      <sheetName val="Booktables"/>
      <sheetName val="A"/>
      <sheetName val="C"/>
      <sheetName val="VM"/>
      <sheetName val="EC"/>
      <sheetName val="EE"/>
      <sheetName val="EGL"/>
      <sheetName val="EL"/>
      <sheetName val="EP"/>
      <sheetName val="EPG"/>
      <sheetName val="EQ"/>
      <sheetName val="ERP"/>
      <sheetName val="EW"/>
      <sheetName val="GE"/>
      <sheetName val="PE"/>
      <sheetName val="DPG"/>
      <sheetName val="2-ESTRUCTURA EBIH-2010-15 func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NF"/>
      <sheetName val="GOES"/>
      <sheetName val="RGG"/>
      <sheetName val="EPNF"/>
      <sheetName val="TRANSF2002-MIHAC"/>
      <sheetName val="Real foreca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ndo - Gas natural"/>
      <sheetName val="GAS NATURAL"/>
      <sheetName val="Hoja1"/>
    </sheetNames>
    <sheetDataSet>
      <sheetData sheetId="0" refreshError="1"/>
      <sheetData sheetId="1"/>
      <sheetData sheetId="2"/>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Indicadores Diarios"/>
      <sheetName val="IPC mensual"/>
      <sheetName val="IPC acumulado"/>
      <sheetName val="IPC 12 meses"/>
      <sheetName val="IPC Dic mes"/>
      <sheetName val="IPC Dic acumulado"/>
      <sheetName val="IPC Dic 12 meses"/>
      <sheetName val="IPC paises"/>
      <sheetName val="Bal.Comercial"/>
      <sheetName val="Stock Deuda"/>
      <sheetName val="Coeficientes Deuda"/>
      <sheetName val="US$ acum"/>
      <sheetName val="US$mensual"/>
      <sheetName val="Libor"/>
      <sheetName val="SPNF"/>
      <sheetName val="Petroleo WTI"/>
      <sheetName val="WTI año"/>
      <sheetName val="WTI 6 meses"/>
      <sheetName val="WTI 3 meses"/>
      <sheetName val="Gas Natural"/>
      <sheetName val="Diesel Oil"/>
      <sheetName val="Minerales"/>
      <sheetName val="Oro"/>
      <sheetName val="Plata"/>
      <sheetName val="Estaño"/>
      <sheetName val="Zinc"/>
      <sheetName val="Plomo"/>
      <sheetName val="Antimonio"/>
      <sheetName val="Cobre"/>
      <sheetName val="TC"/>
      <sheetName val="UFV"/>
      <sheetName val="IPC"/>
      <sheetName val="Proy IPC"/>
      <sheetName val="IPC países"/>
      <sheetName val="Datos Coef.Deuda"/>
      <sheetName val="Datos WTI"/>
      <sheetName val="Seg"/>
      <sheetName val="ejecución 2004"/>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refreshError="1"/>
      <sheetData sheetId="36"/>
      <sheetData sheetId="37"/>
      <sheetData sheetId="38"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of Contents"/>
      <sheetName val="Latest Stats"/>
      <sheetName val="R1"/>
      <sheetName val="R2"/>
      <sheetName val="R3"/>
      <sheetName val="Georges"/>
      <sheetName val="WEO Input"/>
      <sheetName val="DOMACR output"/>
      <sheetName val="SensAnal"/>
      <sheetName val="ASSUMPTIONS"/>
      <sheetName val="Summary"/>
      <sheetName val="Report Format"/>
      <sheetName val="Summary GDP"/>
      <sheetName val="Summary Growth"/>
      <sheetName val="WEO Output"/>
      <sheetName val="Exports"/>
      <sheetName val="Imports"/>
      <sheetName val="Services"/>
      <sheetName val="Income"/>
      <sheetName val="Debt Comparison"/>
      <sheetName val="Shared Data"/>
      <sheetName val="Transfers"/>
      <sheetName val="CapFin"/>
      <sheetName val="Comparison"/>
      <sheetName val="Capitalizaiton flows Dec 99"/>
      <sheetName val="BOP Fin"/>
      <sheetName val="BOP flows (CDE)"/>
      <sheetName val="CDE"/>
      <sheetName val="FTZ"/>
      <sheetName val="Fund"/>
      <sheetName val="Growth Rates"/>
      <sheetName val="NIR"/>
      <sheetName val="CDE (old)"/>
      <sheetName val="ExchRt"/>
      <sheetName val="exchange rates"/>
      <sheetName val="Chart1"/>
      <sheetName val="BOPGDP"/>
      <sheetName val="IMF InOut"/>
      <sheetName val="ImportsXX"/>
      <sheetName val="K"/>
      <sheetName val="M"/>
      <sheetName val="T"/>
      <sheetName val="REDtab38"/>
      <sheetName val="REDtab39"/>
      <sheetName val="REDtab41"/>
      <sheetName val="Resumen"/>
      <sheetName val="Table_of_Contents"/>
      <sheetName val="Latest_Stats"/>
      <sheetName val="WEO_Input"/>
      <sheetName val="DOMACR_output"/>
      <sheetName val="Report_Format"/>
      <sheetName val="Summary_GDP"/>
      <sheetName val="Summary_Growth"/>
      <sheetName val="WEO_Output"/>
      <sheetName val="Debt_Comparison"/>
      <sheetName val="Shared_Data"/>
      <sheetName val="Capitalizaiton_flows_Dec_99"/>
      <sheetName val="BOP_Fin"/>
      <sheetName val="BOP_flows_(CDE)"/>
      <sheetName val="Growth_Rates"/>
      <sheetName val="CDE_(old)"/>
      <sheetName val="exchange_rates"/>
      <sheetName val="IMF_InOut"/>
      <sheetName val="Table_of_Contents1"/>
      <sheetName val="Latest_Stats1"/>
      <sheetName val="WEO_Input1"/>
      <sheetName val="DOMACR_output1"/>
      <sheetName val="Report_Format1"/>
      <sheetName val="Summary_GDP1"/>
      <sheetName val="Summary_Growth1"/>
      <sheetName val="WEO_Output1"/>
      <sheetName val="Debt_Comparison1"/>
      <sheetName val="Shared_Data1"/>
      <sheetName val="Capitalizaiton_flows_Dec_991"/>
      <sheetName val="BOP_Fin1"/>
      <sheetName val="BOP_flows_(CDE)1"/>
      <sheetName val="Growth_Rates1"/>
      <sheetName val="CDE_(old)1"/>
      <sheetName val="exchange_rates1"/>
      <sheetName val="IMF_InOut1"/>
      <sheetName val="Table_of_Contents2"/>
      <sheetName val="Latest_Stats2"/>
      <sheetName val="WEO_Input2"/>
      <sheetName val="DOMACR_output2"/>
      <sheetName val="Report_Format2"/>
      <sheetName val="Summary_GDP2"/>
      <sheetName val="Summary_Growth2"/>
      <sheetName val="WEO_Output2"/>
      <sheetName val="Debt_Comparison2"/>
      <sheetName val="Shared_Data2"/>
      <sheetName val="Capitalizaiton_flows_Dec_992"/>
      <sheetName val="BOP_Fin2"/>
      <sheetName val="BOP_flows_(CDE)2"/>
      <sheetName val="Growth_Rates2"/>
      <sheetName val="CDE_(old)2"/>
      <sheetName val="exchange_rates2"/>
      <sheetName val="IMF_InOu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 1"/>
      <sheetName val="Macro1"/>
      <sheetName val="retroactivos"/>
    </sheetNames>
    <sheetDataSet>
      <sheetData sheetId="0" refreshError="1"/>
      <sheetData sheetId="1" refreshError="1"/>
      <sheetData sheetId="2"/>
      <sheetData sheetId="3"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ights"/>
      <sheetName val="PCPIq"/>
      <sheetName val="PCPIm"/>
      <sheetName val="ControlSheet"/>
      <sheetName val="EDNA"/>
      <sheetName val="EERProfile"/>
      <sheetName val="Table1m"/>
      <sheetName val="Sheet1"/>
      <sheetName val="Sheet2"/>
      <sheetName val="ASSUMPTIONS"/>
      <sheetName val="pape-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Graf 21 Impuestos y regalías GG"/>
      <sheetName val="Graf 25 Inversion Pub"/>
      <sheetName val="Inversión por Instituciones"/>
      <sheetName val="Hoja4"/>
      <sheetName val="EERProfile"/>
    </sheetNames>
    <sheetDataSet>
      <sheetData sheetId="0"/>
      <sheetData sheetId="1"/>
      <sheetData sheetId="2" refreshError="1"/>
      <sheetData sheetId="3"/>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nf (% PIB)"/>
      <sheetName val="Contexto Int"/>
      <sheetName val="Operac. spnf (2)"/>
      <sheetName val="Ejec. 2008"/>
      <sheetName val="Operac. spnf"/>
      <sheetName val="Recaud. Rent Int por Imp"/>
      <sheetName val="Salarios"/>
      <sheetName val="Pensiones"/>
      <sheetName val="Inversión"/>
      <sheetName val="Gasto Social"/>
      <sheetName val="PAG-28"/>
      <sheetName val="Retroactivos"/>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IMATA"/>
      <sheetName val="Ejecución 2004"/>
      <sheetName val="Shared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CPI"/>
      <sheetName val="Output_CPI"/>
      <sheetName val="NAsect"/>
      <sheetName val="NA"/>
      <sheetName val="Diff"/>
      <sheetName val="WEOout"/>
      <sheetName val="Retroactivos"/>
      <sheetName val="program"/>
      <sheetName val="CH"/>
      <sheetName val="AN"/>
      <sheetName val="DEP"/>
      <sheetName val="RES"/>
      <sheetName val="CPI: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1"/>
      <sheetName val="GDPR-2"/>
      <sheetName val="GDPE-3"/>
      <sheetName val="BOP$-11"/>
      <sheetName val="BOP -12"/>
      <sheetName val="Gov-20"/>
      <sheetName val="Monetary-24"/>
      <sheetName val="Interrel.-28"/>
      <sheetName val="Econometrcis"/>
      <sheetName val="CPI"/>
      <sheetName val="NA"/>
    </sheet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Auth main"/>
      <sheetName val="Auth Pres"/>
      <sheetName val="Link"/>
      <sheetName val="IMF"/>
      <sheetName val="IMF %GDP"/>
      <sheetName val="Fiscal Table 3 for SR"/>
      <sheetName val="Fiscal Table 4 for SR"/>
      <sheetName val="Output for PC table"/>
      <sheetName val="Input-Output"/>
      <sheetName val="Output_fiscal DSA"/>
      <sheetName val="Revenues"/>
      <sheetName val="Output FoF"/>
      <sheetName val="Expenditures"/>
      <sheetName val="Oil revenues"/>
      <sheetName val="Medium-Term"/>
      <sheetName val="Medium-Term (Bolivianos)"/>
      <sheetName val="Public Debt"/>
      <sheetName val="Operations of Pub.Ent."/>
      <sheetName val="Op. P.Ent. % GDP"/>
      <sheetName val="Revenues of GG"/>
      <sheetName val="Expenditures GG"/>
      <sheetName val="FAD_DEME_Bol"/>
      <sheetName val="WEO"/>
      <sheetName val="Module1"/>
      <sheetName val="Module3"/>
      <sheetName val="Gov-2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9"/>
      <sheetName val="Chart2"/>
      <sheetName val="Chart3"/>
      <sheetName val="Chart1"/>
      <sheetName val="BOP-RED40"/>
      <sheetName val="RED41"/>
      <sheetName val="RED42"/>
      <sheetName val="RED43"/>
      <sheetName val="RED44"/>
      <sheetName val="RED45"/>
      <sheetName val="RED46"/>
      <sheetName val="RED47"/>
      <sheetName val="RED48"/>
      <sheetName val="RED49"/>
      <sheetName val="RED51"/>
      <sheetName val="RED50"/>
      <sheetName val="Chart4"/>
      <sheetName val="Chart5"/>
      <sheetName val="Chart6"/>
      <sheetName val="Chart7"/>
      <sheetName val="Chart8"/>
      <sheetName val="Sheet1"/>
      <sheetName val="#REF"/>
      <sheetName val="IMATA"/>
      <sheetName val="Dsrv"/>
      <sheetName val="Dboj"/>
      <sheetName val="Dgg"/>
      <sheetName val="Dgov"/>
      <sheetName val="Table3"/>
      <sheetName val="#¡REF"/>
      <sheetName val="Summary Table"/>
      <sheetName val="IMF"/>
      <sheetName val="IMF %GDP"/>
      <sheetName val="terms"/>
      <sheetName val="ACL"/>
      <sheetName val="Gov-20"/>
      <sheetName val="Stfrprtables"/>
      <sheetName val="Summary_Table"/>
      <sheetName val="IMF_%GDP"/>
      <sheetName val="Summary_Table1"/>
      <sheetName val="IMF_%GDP1"/>
      <sheetName val="Summary_Table2"/>
      <sheetName val="IMF_%GDP2"/>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frprtables"/>
      <sheetName val="Basicinput"/>
      <sheetName val="Outputables"/>
      <sheetName val="Index"/>
      <sheetName val="Documentation"/>
      <sheetName val="Monthinput"/>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átula"/>
      <sheetName val="Índice"/>
      <sheetName val="CB_DATA_"/>
      <sheetName val="Parámetros y Sensibilidad"/>
      <sheetName val="Supuestos"/>
      <sheetName val="Ingresos 2016"/>
      <sheetName val="Est Resul2016"/>
      <sheetName val="SupuestosProyeccion"/>
      <sheetName val="EERR"/>
      <sheetName val="Estado de Resultados"/>
      <sheetName val="Ejecucion 2016"/>
      <sheetName val="Flujos"/>
      <sheetName val="Indicadores"/>
      <sheetName val="epps ropa"/>
      <sheetName val="Anexo 1RRHH"/>
      <sheetName val="Items"/>
      <sheetName val="Anexo 2RRHH"/>
      <sheetName val="Tablas de Apoyo"/>
      <sheetName val="Tablas de Datos"/>
      <sheetName val="Depre+Reinv"/>
      <sheetName val="OBSERV."/>
      <sheetName val="Prop Estructur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r Val"/>
      <sheetName val="100%"/>
      <sheetName val="RECON"/>
      <sheetName val="Volúmenes"/>
      <sheetName val="Ventas"/>
      <sheetName val="RESUMEN"/>
      <sheetName val="ING RES"/>
      <sheetName val="INGRESOS"/>
      <sheetName val="ComIng"/>
      <sheetName val="Redes"/>
      <sheetName val="O-ING"/>
      <sheetName val="CxC-CxP"/>
      <sheetName val="CxC"/>
      <sheetName val="Flujo 2010"/>
      <sheetName val="Trans"/>
      <sheetName val="18%"/>
      <sheetName val="32%"/>
      <sheetName val="CR y PT"/>
      <sheetName val="Gasto UpS"/>
      <sheetName val="Compras"/>
      <sheetName val="Compra GB"/>
      <sheetName val="GAS RES"/>
      <sheetName val="VENTAS NACIONAL"/>
      <sheetName val="COMPRAS NACIONAL"/>
      <sheetName val="VENTAS IMPORT."/>
      <sheetName val="COMPRAS IMPORT."/>
      <sheetName val="CxP"/>
      <sheetName val="IVA-IT"/>
      <sheetName val="Caja"/>
      <sheetName val="Precios"/>
      <sheetName val="PAG-28"/>
      <sheetName val="2005o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A"/>
      <sheetName val="Micro"/>
      <sheetName val="Q1"/>
      <sheetName val="Q2"/>
      <sheetName val="Q3"/>
      <sheetName val="Q4"/>
      <sheetName val="Q5"/>
      <sheetName val="Q6"/>
      <sheetName val="Q7"/>
      <sheetName val="QC"/>
      <sheetName val="dshWhatToLoad"/>
      <sheetName val="SetUp Sheet"/>
      <sheetName val="SpinData"/>
      <sheetName val="dshNWCell"/>
      <sheetName val="dshNWCell_Qrt"/>
      <sheetName val="dshUserDelete"/>
      <sheetName val="dshUser"/>
      <sheetName val="dshRefreshLinks"/>
      <sheetName val="dshRefreshLinks_Qrt"/>
      <sheetName val="dshQuestionnairesPrint"/>
      <sheetName val="dshPickAUtility"/>
      <sheetName val="dshAremosSelect_Qrt"/>
      <sheetName val="dshAremosSelect"/>
      <sheetName val="dshWizard1"/>
      <sheetName val="dshWizard1_Qrt"/>
      <sheetName val="dshWizard2"/>
      <sheetName val="dshWizard3"/>
      <sheetName val="dshWizard3_qrt"/>
      <sheetName val="dshWizard4"/>
      <sheetName val="dshAlignButtons"/>
      <sheetName val="dshExit"/>
      <sheetName val="dshAbout"/>
      <sheetName val="dshSend"/>
      <sheetName val="Links"/>
      <sheetName val="xxweolinksxx"/>
      <sheetName val="HelpList"/>
      <sheetName val="Data check"/>
      <sheetName val="dshErrorCheck"/>
      <sheetName val="dshMacroMaker"/>
      <sheetName val="Stfrprtables"/>
      <sheetName val="index"/>
      <sheetName val="pag-2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m"/>
      <sheetName val="Clp-Crd"/>
      <sheetName val="Pvn"/>
      <sheetName val="Nrj"/>
      <sheetName val="Mtgd"/>
      <sheetName val="Lvt-Tr1"/>
      <sheetName val="Lvt-Tr2"/>
      <sheetName val="Sal-TR-1"/>
      <sheetName val="Sal-TR-2"/>
      <sheetName val="Sal-TR-3"/>
      <sheetName val="DongWong"/>
      <sheetName val="Stock-(Ycb-Rgd)"/>
      <sheetName val="SCADA-EFM"/>
      <sheetName val="Data-Logger"/>
      <sheetName val="Dif.EFM-Logger"/>
      <sheetName val="Pvn-1"/>
      <sheetName val="Pvn -2"/>
      <sheetName val="SAN"/>
      <sheetName val="Tacobo 1"/>
      <sheetName val="Tacobo2"/>
      <sheetName val="MDRJ-NTE"/>
      <sheetName val="MDRJ-Sur"/>
      <sheetName val="Mtgd-Gas Lift"/>
      <sheetName val="Lvt-1"/>
      <sheetName val="Lvt-2"/>
      <sheetName val="Sal-1"/>
      <sheetName val="Sal-2"/>
      <sheetName val="Sal-3"/>
      <sheetName val="TCB-Km20"/>
      <sheetName val="TCB-S"/>
      <sheetName val="MDJ-N"/>
      <sheetName val="MDJ-S"/>
      <sheetName val="AF Tribut "/>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MA"/>
      <sheetName val="TGN US$"/>
      <sheetName val="TGN %"/>
      <sheetName val="BCB US$"/>
      <sheetName val="BCB %"/>
      <sheetName val="TGN Total"/>
      <sheetName val="Rollover"/>
      <sheetName val="Int Rates"/>
      <sheetName val="Bkg Liab"/>
      <sheetName val="Bkg Ind"/>
      <sheetName val="M"/>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capital"/>
      <sheetName val="ipx"/>
      <sheetName val="ipm"/>
      <sheetName val="precelec"/>
      <sheetName val="Hoja2"/>
      <sheetName val="PIB EN CORR"/>
      <sheetName val="Implicito-trim"/>
      <sheetName val="Hoja1"/>
      <sheetName val="lista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hared Data"/>
      <sheetName val="R1"/>
      <sheetName val="WEO In"/>
      <sheetName val="ASSUM"/>
      <sheetName val="DEBT In"/>
      <sheetName val="BOP_MACRO"/>
      <sheetName val="BOPquart"/>
      <sheetName val="BOP"/>
      <sheetName val="Exp"/>
      <sheetName val="Serv"/>
      <sheetName val="Inc"/>
      <sheetName val="Imp"/>
      <sheetName val="Transf"/>
      <sheetName val="CapFin"/>
      <sheetName val="BOP Fin"/>
      <sheetName val="Priv"/>
      <sheetName val="Fund"/>
      <sheetName val="Res"/>
      <sheetName val="Trade%Tab"/>
      <sheetName val="RED Table 29"/>
      <sheetName val="RED Table 30"/>
      <sheetName val="RED Table 31"/>
      <sheetName val="RED Table 32"/>
      <sheetName val="RED Table 33"/>
      <sheetName val="RED Table 34"/>
      <sheetName val="RED Table 35"/>
      <sheetName val="RED Table 36"/>
      <sheetName val="RED Table 37"/>
      <sheetName val="Sheet1"/>
      <sheetName val="RED Table 38"/>
      <sheetName val="Comparation"/>
      <sheetName val="Eje 2004"/>
      <sheetName val="Q6"/>
      <sheetName val="Ventas"/>
      <sheetName val="PIB EN CORR"/>
      <sheetName val="TGN Total"/>
      <sheetName val="Shared_Data"/>
      <sheetName val="WEO_In"/>
      <sheetName val="DEBT_In"/>
      <sheetName val="BOP_Fin"/>
      <sheetName val="RED_Table_29"/>
      <sheetName val="RED_Table_30"/>
      <sheetName val="RED_Table_31"/>
      <sheetName val="RED_Table_32"/>
      <sheetName val="RED_Table_33"/>
      <sheetName val="RED_Table_34"/>
      <sheetName val="RED_Table_35"/>
      <sheetName val="RED_Table_36"/>
      <sheetName val="RED_Table_37"/>
      <sheetName val="RED_Table_38"/>
      <sheetName val="Eje_2004"/>
      <sheetName val="Shared_Data1"/>
      <sheetName val="WEO_In1"/>
      <sheetName val="DEBT_In1"/>
      <sheetName val="BOP_Fin1"/>
      <sheetName val="RED_Table_291"/>
      <sheetName val="RED_Table_301"/>
      <sheetName val="RED_Table_311"/>
      <sheetName val="RED_Table_321"/>
      <sheetName val="RED_Table_331"/>
      <sheetName val="RED_Table_341"/>
      <sheetName val="RED_Table_351"/>
      <sheetName val="RED_Table_361"/>
      <sheetName val="RED_Table_371"/>
      <sheetName val="RED_Table_381"/>
      <sheetName val="Eje_20041"/>
      <sheetName val="Shared_Data2"/>
      <sheetName val="WEO_In2"/>
      <sheetName val="DEBT_In2"/>
      <sheetName val="BOP_Fin2"/>
      <sheetName val="RED_Table_292"/>
      <sheetName val="RED_Table_302"/>
      <sheetName val="RED_Table_312"/>
      <sheetName val="RED_Table_322"/>
      <sheetName val="RED_Table_332"/>
      <sheetName val="RED_Table_342"/>
      <sheetName val="RED_Table_352"/>
      <sheetName val="RED_Table_362"/>
      <sheetName val="RED_Table_372"/>
      <sheetName val="RED_Table_382"/>
      <sheetName val="Eje_2004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pageSetUpPr fitToPage="1"/>
  </sheetPr>
  <dimension ref="B2:WVY29"/>
  <sheetViews>
    <sheetView showGridLines="0" topLeftCell="A6" workbookViewId="0">
      <selection activeCell="F12" sqref="F12"/>
    </sheetView>
  </sheetViews>
  <sheetFormatPr baseColWidth="10" defaultColWidth="11.42578125" defaultRowHeight="16.5"/>
  <cols>
    <col min="1" max="1" width="3.85546875" style="2" customWidth="1"/>
    <col min="2" max="2" width="5" style="2" customWidth="1"/>
    <col min="3" max="3" width="6.28515625" style="2" customWidth="1"/>
    <col min="4" max="4" width="6.42578125" style="2" customWidth="1"/>
    <col min="5" max="5" width="30.7109375" style="318" customWidth="1"/>
    <col min="6" max="6" width="29" style="2" customWidth="1"/>
    <col min="7" max="7" width="20.28515625" style="2" customWidth="1"/>
    <col min="8" max="8" width="11.140625" style="2" customWidth="1"/>
    <col min="9" max="9" width="30.140625" style="2" customWidth="1"/>
    <col min="10" max="10" width="12.28515625" style="2" customWidth="1"/>
    <col min="11" max="11" width="23.42578125" style="2" customWidth="1"/>
    <col min="12" max="12" width="21.7109375" style="2" customWidth="1"/>
    <col min="13" max="13" width="6.5703125" style="2" customWidth="1"/>
    <col min="14" max="14" width="6.28515625" style="2" customWidth="1"/>
    <col min="15" max="15" width="7.28515625" style="2" customWidth="1"/>
    <col min="16" max="16" width="11.42578125" style="2" customWidth="1"/>
    <col min="17" max="17" width="6.5703125" style="2" customWidth="1"/>
    <col min="18" max="18" width="7.28515625" style="2" customWidth="1"/>
    <col min="19" max="19" width="7.42578125" style="2" customWidth="1"/>
    <col min="20" max="20" width="7.140625" style="2" customWidth="1"/>
    <col min="21" max="21" width="7.42578125" style="2" customWidth="1"/>
    <col min="22" max="246" width="11.42578125" style="2"/>
    <col min="247" max="249" width="3.85546875" style="2" customWidth="1"/>
    <col min="250" max="250" width="5.5703125" style="2" customWidth="1"/>
    <col min="251" max="251" width="11.42578125" style="2" hidden="1" customWidth="1"/>
    <col min="252" max="252" width="7.42578125" style="2" customWidth="1"/>
    <col min="253" max="253" width="12.5703125" style="2" customWidth="1"/>
    <col min="254" max="254" width="14.28515625" style="2" customWidth="1"/>
    <col min="255" max="255" width="11.7109375" style="2" customWidth="1"/>
    <col min="256" max="256" width="9.7109375" style="2" customWidth="1"/>
    <col min="257" max="257" width="9" style="2" customWidth="1"/>
    <col min="258" max="258" width="10.7109375" style="2" customWidth="1"/>
    <col min="259" max="259" width="15.28515625" style="2" customWidth="1"/>
    <col min="260" max="260" width="16.7109375" style="2" customWidth="1"/>
    <col min="261" max="271" width="11.42578125" style="2" hidden="1" customWidth="1"/>
    <col min="272" max="272" width="7.5703125" style="2" customWidth="1"/>
    <col min="273" max="273" width="11.42578125" style="2" hidden="1" customWidth="1"/>
    <col min="274" max="277" width="7.7109375" style="2" customWidth="1"/>
    <col min="278" max="502" width="11.42578125" style="2"/>
    <col min="503" max="505" width="3.85546875" style="2" customWidth="1"/>
    <col min="506" max="506" width="5.5703125" style="2" customWidth="1"/>
    <col min="507" max="507" width="11.42578125" style="2" hidden="1" customWidth="1"/>
    <col min="508" max="508" width="7.42578125" style="2" customWidth="1"/>
    <col min="509" max="509" width="12.5703125" style="2" customWidth="1"/>
    <col min="510" max="510" width="14.28515625" style="2" customWidth="1"/>
    <col min="511" max="511" width="11.7109375" style="2" customWidth="1"/>
    <col min="512" max="512" width="9.7109375" style="2" customWidth="1"/>
    <col min="513" max="513" width="9" style="2" customWidth="1"/>
    <col min="514" max="514" width="10.7109375" style="2" customWidth="1"/>
    <col min="515" max="515" width="15.28515625" style="2" customWidth="1"/>
    <col min="516" max="516" width="16.7109375" style="2" customWidth="1"/>
    <col min="517" max="527" width="11.42578125" style="2" hidden="1" customWidth="1"/>
    <col min="528" max="528" width="7.5703125" style="2" customWidth="1"/>
    <col min="529" max="529" width="11.42578125" style="2" hidden="1" customWidth="1"/>
    <col min="530" max="533" width="7.7109375" style="2" customWidth="1"/>
    <col min="534" max="758" width="11.42578125" style="2"/>
    <col min="759" max="761" width="3.85546875" style="2" customWidth="1"/>
    <col min="762" max="762" width="5.5703125" style="2" customWidth="1"/>
    <col min="763" max="763" width="11.42578125" style="2" hidden="1" customWidth="1"/>
    <col min="764" max="764" width="7.42578125" style="2" customWidth="1"/>
    <col min="765" max="765" width="12.5703125" style="2" customWidth="1"/>
    <col min="766" max="766" width="14.28515625" style="2" customWidth="1"/>
    <col min="767" max="767" width="11.7109375" style="2" customWidth="1"/>
    <col min="768" max="768" width="9.7109375" style="2" customWidth="1"/>
    <col min="769" max="769" width="9" style="2" customWidth="1"/>
    <col min="770" max="770" width="10.7109375" style="2" customWidth="1"/>
    <col min="771" max="771" width="15.28515625" style="2" customWidth="1"/>
    <col min="772" max="772" width="16.7109375" style="2" customWidth="1"/>
    <col min="773" max="783" width="11.42578125" style="2" hidden="1" customWidth="1"/>
    <col min="784" max="784" width="7.5703125" style="2" customWidth="1"/>
    <col min="785" max="785" width="11.42578125" style="2" hidden="1" customWidth="1"/>
    <col min="786" max="789" width="7.7109375" style="2" customWidth="1"/>
    <col min="790" max="1014" width="11.42578125" style="2"/>
    <col min="1015" max="1017" width="3.85546875" style="2" customWidth="1"/>
    <col min="1018" max="1018" width="5.5703125" style="2" customWidth="1"/>
    <col min="1019" max="1019" width="11.42578125" style="2" hidden="1" customWidth="1"/>
    <col min="1020" max="1020" width="7.42578125" style="2" customWidth="1"/>
    <col min="1021" max="1021" width="12.5703125" style="2" customWidth="1"/>
    <col min="1022" max="1022" width="14.28515625" style="2" customWidth="1"/>
    <col min="1023" max="1023" width="11.7109375" style="2" customWidth="1"/>
    <col min="1024" max="1024" width="9.7109375" style="2" customWidth="1"/>
    <col min="1025" max="1025" width="9" style="2" customWidth="1"/>
    <col min="1026" max="1026" width="10.7109375" style="2" customWidth="1"/>
    <col min="1027" max="1027" width="15.28515625" style="2" customWidth="1"/>
    <col min="1028" max="1028" width="16.7109375" style="2" customWidth="1"/>
    <col min="1029" max="1039" width="11.42578125" style="2" hidden="1" customWidth="1"/>
    <col min="1040" max="1040" width="7.5703125" style="2" customWidth="1"/>
    <col min="1041" max="1041" width="11.42578125" style="2" hidden="1" customWidth="1"/>
    <col min="1042" max="1045" width="7.7109375" style="2" customWidth="1"/>
    <col min="1046" max="1270" width="11.42578125" style="2"/>
    <col min="1271" max="1273" width="3.85546875" style="2" customWidth="1"/>
    <col min="1274" max="1274" width="5.5703125" style="2" customWidth="1"/>
    <col min="1275" max="1275" width="11.42578125" style="2" hidden="1" customWidth="1"/>
    <col min="1276" max="1276" width="7.42578125" style="2" customWidth="1"/>
    <col min="1277" max="1277" width="12.5703125" style="2" customWidth="1"/>
    <col min="1278" max="1278" width="14.28515625" style="2" customWidth="1"/>
    <col min="1279" max="1279" width="11.7109375" style="2" customWidth="1"/>
    <col min="1280" max="1280" width="9.7109375" style="2" customWidth="1"/>
    <col min="1281" max="1281" width="9" style="2" customWidth="1"/>
    <col min="1282" max="1282" width="10.7109375" style="2" customWidth="1"/>
    <col min="1283" max="1283" width="15.28515625" style="2" customWidth="1"/>
    <col min="1284" max="1284" width="16.7109375" style="2" customWidth="1"/>
    <col min="1285" max="1295" width="11.42578125" style="2" hidden="1" customWidth="1"/>
    <col min="1296" max="1296" width="7.5703125" style="2" customWidth="1"/>
    <col min="1297" max="1297" width="11.42578125" style="2" hidden="1" customWidth="1"/>
    <col min="1298" max="1301" width="7.7109375" style="2" customWidth="1"/>
    <col min="1302" max="1526" width="11.42578125" style="2"/>
    <col min="1527" max="1529" width="3.85546875" style="2" customWidth="1"/>
    <col min="1530" max="1530" width="5.5703125" style="2" customWidth="1"/>
    <col min="1531" max="1531" width="11.42578125" style="2" hidden="1" customWidth="1"/>
    <col min="1532" max="1532" width="7.42578125" style="2" customWidth="1"/>
    <col min="1533" max="1533" width="12.5703125" style="2" customWidth="1"/>
    <col min="1534" max="1534" width="14.28515625" style="2" customWidth="1"/>
    <col min="1535" max="1535" width="11.7109375" style="2" customWidth="1"/>
    <col min="1536" max="1536" width="9.7109375" style="2" customWidth="1"/>
    <col min="1537" max="1537" width="9" style="2" customWidth="1"/>
    <col min="1538" max="1538" width="10.7109375" style="2" customWidth="1"/>
    <col min="1539" max="1539" width="15.28515625" style="2" customWidth="1"/>
    <col min="1540" max="1540" width="16.7109375" style="2" customWidth="1"/>
    <col min="1541" max="1551" width="11.42578125" style="2" hidden="1" customWidth="1"/>
    <col min="1552" max="1552" width="7.5703125" style="2" customWidth="1"/>
    <col min="1553" max="1553" width="11.42578125" style="2" hidden="1" customWidth="1"/>
    <col min="1554" max="1557" width="7.7109375" style="2" customWidth="1"/>
    <col min="1558" max="1782" width="11.42578125" style="2"/>
    <col min="1783" max="1785" width="3.85546875" style="2" customWidth="1"/>
    <col min="1786" max="1786" width="5.5703125" style="2" customWidth="1"/>
    <col min="1787" max="1787" width="11.42578125" style="2" hidden="1" customWidth="1"/>
    <col min="1788" max="1788" width="7.42578125" style="2" customWidth="1"/>
    <col min="1789" max="1789" width="12.5703125" style="2" customWidth="1"/>
    <col min="1790" max="1790" width="14.28515625" style="2" customWidth="1"/>
    <col min="1791" max="1791" width="11.7109375" style="2" customWidth="1"/>
    <col min="1792" max="1792" width="9.7109375" style="2" customWidth="1"/>
    <col min="1793" max="1793" width="9" style="2" customWidth="1"/>
    <col min="1794" max="1794" width="10.7109375" style="2" customWidth="1"/>
    <col min="1795" max="1795" width="15.28515625" style="2" customWidth="1"/>
    <col min="1796" max="1796" width="16.7109375" style="2" customWidth="1"/>
    <col min="1797" max="1807" width="11.42578125" style="2" hidden="1" customWidth="1"/>
    <col min="1808" max="1808" width="7.5703125" style="2" customWidth="1"/>
    <col min="1809" max="1809" width="11.42578125" style="2" hidden="1" customWidth="1"/>
    <col min="1810" max="1813" width="7.7109375" style="2" customWidth="1"/>
    <col min="1814" max="2038" width="11.42578125" style="2"/>
    <col min="2039" max="2041" width="3.85546875" style="2" customWidth="1"/>
    <col min="2042" max="2042" width="5.5703125" style="2" customWidth="1"/>
    <col min="2043" max="2043" width="11.42578125" style="2" hidden="1" customWidth="1"/>
    <col min="2044" max="2044" width="7.42578125" style="2" customWidth="1"/>
    <col min="2045" max="2045" width="12.5703125" style="2" customWidth="1"/>
    <col min="2046" max="2046" width="14.28515625" style="2" customWidth="1"/>
    <col min="2047" max="2047" width="11.7109375" style="2" customWidth="1"/>
    <col min="2048" max="2048" width="9.7109375" style="2" customWidth="1"/>
    <col min="2049" max="2049" width="9" style="2" customWidth="1"/>
    <col min="2050" max="2050" width="10.7109375" style="2" customWidth="1"/>
    <col min="2051" max="2051" width="15.28515625" style="2" customWidth="1"/>
    <col min="2052" max="2052" width="16.7109375" style="2" customWidth="1"/>
    <col min="2053" max="2063" width="11.42578125" style="2" hidden="1" customWidth="1"/>
    <col min="2064" max="2064" width="7.5703125" style="2" customWidth="1"/>
    <col min="2065" max="2065" width="11.42578125" style="2" hidden="1" customWidth="1"/>
    <col min="2066" max="2069" width="7.7109375" style="2" customWidth="1"/>
    <col min="2070" max="2294" width="11.42578125" style="2"/>
    <col min="2295" max="2297" width="3.85546875" style="2" customWidth="1"/>
    <col min="2298" max="2298" width="5.5703125" style="2" customWidth="1"/>
    <col min="2299" max="2299" width="11.42578125" style="2" hidden="1" customWidth="1"/>
    <col min="2300" max="2300" width="7.42578125" style="2" customWidth="1"/>
    <col min="2301" max="2301" width="12.5703125" style="2" customWidth="1"/>
    <col min="2302" max="2302" width="14.28515625" style="2" customWidth="1"/>
    <col min="2303" max="2303" width="11.7109375" style="2" customWidth="1"/>
    <col min="2304" max="2304" width="9.7109375" style="2" customWidth="1"/>
    <col min="2305" max="2305" width="9" style="2" customWidth="1"/>
    <col min="2306" max="2306" width="10.7109375" style="2" customWidth="1"/>
    <col min="2307" max="2307" width="15.28515625" style="2" customWidth="1"/>
    <col min="2308" max="2308" width="16.7109375" style="2" customWidth="1"/>
    <col min="2309" max="2319" width="11.42578125" style="2" hidden="1" customWidth="1"/>
    <col min="2320" max="2320" width="7.5703125" style="2" customWidth="1"/>
    <col min="2321" max="2321" width="11.42578125" style="2" hidden="1" customWidth="1"/>
    <col min="2322" max="2325" width="7.7109375" style="2" customWidth="1"/>
    <col min="2326" max="2550" width="11.42578125" style="2"/>
    <col min="2551" max="2553" width="3.85546875" style="2" customWidth="1"/>
    <col min="2554" max="2554" width="5.5703125" style="2" customWidth="1"/>
    <col min="2555" max="2555" width="11.42578125" style="2" hidden="1" customWidth="1"/>
    <col min="2556" max="2556" width="7.42578125" style="2" customWidth="1"/>
    <col min="2557" max="2557" width="12.5703125" style="2" customWidth="1"/>
    <col min="2558" max="2558" width="14.28515625" style="2" customWidth="1"/>
    <col min="2559" max="2559" width="11.7109375" style="2" customWidth="1"/>
    <col min="2560" max="2560" width="9.7109375" style="2" customWidth="1"/>
    <col min="2561" max="2561" width="9" style="2" customWidth="1"/>
    <col min="2562" max="2562" width="10.7109375" style="2" customWidth="1"/>
    <col min="2563" max="2563" width="15.28515625" style="2" customWidth="1"/>
    <col min="2564" max="2564" width="16.7109375" style="2" customWidth="1"/>
    <col min="2565" max="2575" width="11.42578125" style="2" hidden="1" customWidth="1"/>
    <col min="2576" max="2576" width="7.5703125" style="2" customWidth="1"/>
    <col min="2577" max="2577" width="11.42578125" style="2" hidden="1" customWidth="1"/>
    <col min="2578" max="2581" width="7.7109375" style="2" customWidth="1"/>
    <col min="2582" max="2806" width="11.42578125" style="2"/>
    <col min="2807" max="2809" width="3.85546875" style="2" customWidth="1"/>
    <col min="2810" max="2810" width="5.5703125" style="2" customWidth="1"/>
    <col min="2811" max="2811" width="11.42578125" style="2" hidden="1" customWidth="1"/>
    <col min="2812" max="2812" width="7.42578125" style="2" customWidth="1"/>
    <col min="2813" max="2813" width="12.5703125" style="2" customWidth="1"/>
    <col min="2814" max="2814" width="14.28515625" style="2" customWidth="1"/>
    <col min="2815" max="2815" width="11.7109375" style="2" customWidth="1"/>
    <col min="2816" max="2816" width="9.7109375" style="2" customWidth="1"/>
    <col min="2817" max="2817" width="9" style="2" customWidth="1"/>
    <col min="2818" max="2818" width="10.7109375" style="2" customWidth="1"/>
    <col min="2819" max="2819" width="15.28515625" style="2" customWidth="1"/>
    <col min="2820" max="2820" width="16.7109375" style="2" customWidth="1"/>
    <col min="2821" max="2831" width="11.42578125" style="2" hidden="1" customWidth="1"/>
    <col min="2832" max="2832" width="7.5703125" style="2" customWidth="1"/>
    <col min="2833" max="2833" width="11.42578125" style="2" hidden="1" customWidth="1"/>
    <col min="2834" max="2837" width="7.7109375" style="2" customWidth="1"/>
    <col min="2838" max="3062" width="11.42578125" style="2"/>
    <col min="3063" max="3065" width="3.85546875" style="2" customWidth="1"/>
    <col min="3066" max="3066" width="5.5703125" style="2" customWidth="1"/>
    <col min="3067" max="3067" width="11.42578125" style="2" hidden="1" customWidth="1"/>
    <col min="3068" max="3068" width="7.42578125" style="2" customWidth="1"/>
    <col min="3069" max="3069" width="12.5703125" style="2" customWidth="1"/>
    <col min="3070" max="3070" width="14.28515625" style="2" customWidth="1"/>
    <col min="3071" max="3071" width="11.7109375" style="2" customWidth="1"/>
    <col min="3072" max="3072" width="9.7109375" style="2" customWidth="1"/>
    <col min="3073" max="3073" width="9" style="2" customWidth="1"/>
    <col min="3074" max="3074" width="10.7109375" style="2" customWidth="1"/>
    <col min="3075" max="3075" width="15.28515625" style="2" customWidth="1"/>
    <col min="3076" max="3076" width="16.7109375" style="2" customWidth="1"/>
    <col min="3077" max="3087" width="11.42578125" style="2" hidden="1" customWidth="1"/>
    <col min="3088" max="3088" width="7.5703125" style="2" customWidth="1"/>
    <col min="3089" max="3089" width="11.42578125" style="2" hidden="1" customWidth="1"/>
    <col min="3090" max="3093" width="7.7109375" style="2" customWidth="1"/>
    <col min="3094" max="3318" width="11.42578125" style="2"/>
    <col min="3319" max="3321" width="3.85546875" style="2" customWidth="1"/>
    <col min="3322" max="3322" width="5.5703125" style="2" customWidth="1"/>
    <col min="3323" max="3323" width="11.42578125" style="2" hidden="1" customWidth="1"/>
    <col min="3324" max="3324" width="7.42578125" style="2" customWidth="1"/>
    <col min="3325" max="3325" width="12.5703125" style="2" customWidth="1"/>
    <col min="3326" max="3326" width="14.28515625" style="2" customWidth="1"/>
    <col min="3327" max="3327" width="11.7109375" style="2" customWidth="1"/>
    <col min="3328" max="3328" width="9.7109375" style="2" customWidth="1"/>
    <col min="3329" max="3329" width="9" style="2" customWidth="1"/>
    <col min="3330" max="3330" width="10.7109375" style="2" customWidth="1"/>
    <col min="3331" max="3331" width="15.28515625" style="2" customWidth="1"/>
    <col min="3332" max="3332" width="16.7109375" style="2" customWidth="1"/>
    <col min="3333" max="3343" width="11.42578125" style="2" hidden="1" customWidth="1"/>
    <col min="3344" max="3344" width="7.5703125" style="2" customWidth="1"/>
    <col min="3345" max="3345" width="11.42578125" style="2" hidden="1" customWidth="1"/>
    <col min="3346" max="3349" width="7.7109375" style="2" customWidth="1"/>
    <col min="3350" max="3574" width="11.42578125" style="2"/>
    <col min="3575" max="3577" width="3.85546875" style="2" customWidth="1"/>
    <col min="3578" max="3578" width="5.5703125" style="2" customWidth="1"/>
    <col min="3579" max="3579" width="11.42578125" style="2" hidden="1" customWidth="1"/>
    <col min="3580" max="3580" width="7.42578125" style="2" customWidth="1"/>
    <col min="3581" max="3581" width="12.5703125" style="2" customWidth="1"/>
    <col min="3582" max="3582" width="14.28515625" style="2" customWidth="1"/>
    <col min="3583" max="3583" width="11.7109375" style="2" customWidth="1"/>
    <col min="3584" max="3584" width="9.7109375" style="2" customWidth="1"/>
    <col min="3585" max="3585" width="9" style="2" customWidth="1"/>
    <col min="3586" max="3586" width="10.7109375" style="2" customWidth="1"/>
    <col min="3587" max="3587" width="15.28515625" style="2" customWidth="1"/>
    <col min="3588" max="3588" width="16.7109375" style="2" customWidth="1"/>
    <col min="3589" max="3599" width="11.42578125" style="2" hidden="1" customWidth="1"/>
    <col min="3600" max="3600" width="7.5703125" style="2" customWidth="1"/>
    <col min="3601" max="3601" width="11.42578125" style="2" hidden="1" customWidth="1"/>
    <col min="3602" max="3605" width="7.7109375" style="2" customWidth="1"/>
    <col min="3606" max="3830" width="11.42578125" style="2"/>
    <col min="3831" max="3833" width="3.85546875" style="2" customWidth="1"/>
    <col min="3834" max="3834" width="5.5703125" style="2" customWidth="1"/>
    <col min="3835" max="3835" width="11.42578125" style="2" hidden="1" customWidth="1"/>
    <col min="3836" max="3836" width="7.42578125" style="2" customWidth="1"/>
    <col min="3837" max="3837" width="12.5703125" style="2" customWidth="1"/>
    <col min="3838" max="3838" width="14.28515625" style="2" customWidth="1"/>
    <col min="3839" max="3839" width="11.7109375" style="2" customWidth="1"/>
    <col min="3840" max="3840" width="9.7109375" style="2" customWidth="1"/>
    <col min="3841" max="3841" width="9" style="2" customWidth="1"/>
    <col min="3842" max="3842" width="10.7109375" style="2" customWidth="1"/>
    <col min="3843" max="3843" width="15.28515625" style="2" customWidth="1"/>
    <col min="3844" max="3844" width="16.7109375" style="2" customWidth="1"/>
    <col min="3845" max="3855" width="11.42578125" style="2" hidden="1" customWidth="1"/>
    <col min="3856" max="3856" width="7.5703125" style="2" customWidth="1"/>
    <col min="3857" max="3857" width="11.42578125" style="2" hidden="1" customWidth="1"/>
    <col min="3858" max="3861" width="7.7109375" style="2" customWidth="1"/>
    <col min="3862" max="4086" width="11.42578125" style="2"/>
    <col min="4087" max="4089" width="3.85546875" style="2" customWidth="1"/>
    <col min="4090" max="4090" width="5.5703125" style="2" customWidth="1"/>
    <col min="4091" max="4091" width="11.42578125" style="2" hidden="1" customWidth="1"/>
    <col min="4092" max="4092" width="7.42578125" style="2" customWidth="1"/>
    <col min="4093" max="4093" width="12.5703125" style="2" customWidth="1"/>
    <col min="4094" max="4094" width="14.28515625" style="2" customWidth="1"/>
    <col min="4095" max="4095" width="11.7109375" style="2" customWidth="1"/>
    <col min="4096" max="4096" width="9.7109375" style="2" customWidth="1"/>
    <col min="4097" max="4097" width="9" style="2" customWidth="1"/>
    <col min="4098" max="4098" width="10.7109375" style="2" customWidth="1"/>
    <col min="4099" max="4099" width="15.28515625" style="2" customWidth="1"/>
    <col min="4100" max="4100" width="16.7109375" style="2" customWidth="1"/>
    <col min="4101" max="4111" width="11.42578125" style="2" hidden="1" customWidth="1"/>
    <col min="4112" max="4112" width="7.5703125" style="2" customWidth="1"/>
    <col min="4113" max="4113" width="11.42578125" style="2" hidden="1" customWidth="1"/>
    <col min="4114" max="4117" width="7.7109375" style="2" customWidth="1"/>
    <col min="4118" max="4342" width="11.42578125" style="2"/>
    <col min="4343" max="4345" width="3.85546875" style="2" customWidth="1"/>
    <col min="4346" max="4346" width="5.5703125" style="2" customWidth="1"/>
    <col min="4347" max="4347" width="11.42578125" style="2" hidden="1" customWidth="1"/>
    <col min="4348" max="4348" width="7.42578125" style="2" customWidth="1"/>
    <col min="4349" max="4349" width="12.5703125" style="2" customWidth="1"/>
    <col min="4350" max="4350" width="14.28515625" style="2" customWidth="1"/>
    <col min="4351" max="4351" width="11.7109375" style="2" customWidth="1"/>
    <col min="4352" max="4352" width="9.7109375" style="2" customWidth="1"/>
    <col min="4353" max="4353" width="9" style="2" customWidth="1"/>
    <col min="4354" max="4354" width="10.7109375" style="2" customWidth="1"/>
    <col min="4355" max="4355" width="15.28515625" style="2" customWidth="1"/>
    <col min="4356" max="4356" width="16.7109375" style="2" customWidth="1"/>
    <col min="4357" max="4367" width="11.42578125" style="2" hidden="1" customWidth="1"/>
    <col min="4368" max="4368" width="7.5703125" style="2" customWidth="1"/>
    <col min="4369" max="4369" width="11.42578125" style="2" hidden="1" customWidth="1"/>
    <col min="4370" max="4373" width="7.7109375" style="2" customWidth="1"/>
    <col min="4374" max="4598" width="11.42578125" style="2"/>
    <col min="4599" max="4601" width="3.85546875" style="2" customWidth="1"/>
    <col min="4602" max="4602" width="5.5703125" style="2" customWidth="1"/>
    <col min="4603" max="4603" width="11.42578125" style="2" hidden="1" customWidth="1"/>
    <col min="4604" max="4604" width="7.42578125" style="2" customWidth="1"/>
    <col min="4605" max="4605" width="12.5703125" style="2" customWidth="1"/>
    <col min="4606" max="4606" width="14.28515625" style="2" customWidth="1"/>
    <col min="4607" max="4607" width="11.7109375" style="2" customWidth="1"/>
    <col min="4608" max="4608" width="9.7109375" style="2" customWidth="1"/>
    <col min="4609" max="4609" width="9" style="2" customWidth="1"/>
    <col min="4610" max="4610" width="10.7109375" style="2" customWidth="1"/>
    <col min="4611" max="4611" width="15.28515625" style="2" customWidth="1"/>
    <col min="4612" max="4612" width="16.7109375" style="2" customWidth="1"/>
    <col min="4613" max="4623" width="11.42578125" style="2" hidden="1" customWidth="1"/>
    <col min="4624" max="4624" width="7.5703125" style="2" customWidth="1"/>
    <col min="4625" max="4625" width="11.42578125" style="2" hidden="1" customWidth="1"/>
    <col min="4626" max="4629" width="7.7109375" style="2" customWidth="1"/>
    <col min="4630" max="4854" width="11.42578125" style="2"/>
    <col min="4855" max="4857" width="3.85546875" style="2" customWidth="1"/>
    <col min="4858" max="4858" width="5.5703125" style="2" customWidth="1"/>
    <col min="4859" max="4859" width="11.42578125" style="2" hidden="1" customWidth="1"/>
    <col min="4860" max="4860" width="7.42578125" style="2" customWidth="1"/>
    <col min="4861" max="4861" width="12.5703125" style="2" customWidth="1"/>
    <col min="4862" max="4862" width="14.28515625" style="2" customWidth="1"/>
    <col min="4863" max="4863" width="11.7109375" style="2" customWidth="1"/>
    <col min="4864" max="4864" width="9.7109375" style="2" customWidth="1"/>
    <col min="4865" max="4865" width="9" style="2" customWidth="1"/>
    <col min="4866" max="4866" width="10.7109375" style="2" customWidth="1"/>
    <col min="4867" max="4867" width="15.28515625" style="2" customWidth="1"/>
    <col min="4868" max="4868" width="16.7109375" style="2" customWidth="1"/>
    <col min="4869" max="4879" width="11.42578125" style="2" hidden="1" customWidth="1"/>
    <col min="4880" max="4880" width="7.5703125" style="2" customWidth="1"/>
    <col min="4881" max="4881" width="11.42578125" style="2" hidden="1" customWidth="1"/>
    <col min="4882" max="4885" width="7.7109375" style="2" customWidth="1"/>
    <col min="4886" max="5110" width="11.42578125" style="2"/>
    <col min="5111" max="5113" width="3.85546875" style="2" customWidth="1"/>
    <col min="5114" max="5114" width="5.5703125" style="2" customWidth="1"/>
    <col min="5115" max="5115" width="11.42578125" style="2" hidden="1" customWidth="1"/>
    <col min="5116" max="5116" width="7.42578125" style="2" customWidth="1"/>
    <col min="5117" max="5117" width="12.5703125" style="2" customWidth="1"/>
    <col min="5118" max="5118" width="14.28515625" style="2" customWidth="1"/>
    <col min="5119" max="5119" width="11.7109375" style="2" customWidth="1"/>
    <col min="5120" max="5120" width="9.7109375" style="2" customWidth="1"/>
    <col min="5121" max="5121" width="9" style="2" customWidth="1"/>
    <col min="5122" max="5122" width="10.7109375" style="2" customWidth="1"/>
    <col min="5123" max="5123" width="15.28515625" style="2" customWidth="1"/>
    <col min="5124" max="5124" width="16.7109375" style="2" customWidth="1"/>
    <col min="5125" max="5135" width="11.42578125" style="2" hidden="1" customWidth="1"/>
    <col min="5136" max="5136" width="7.5703125" style="2" customWidth="1"/>
    <col min="5137" max="5137" width="11.42578125" style="2" hidden="1" customWidth="1"/>
    <col min="5138" max="5141" width="7.7109375" style="2" customWidth="1"/>
    <col min="5142" max="5366" width="11.42578125" style="2"/>
    <col min="5367" max="5369" width="3.85546875" style="2" customWidth="1"/>
    <col min="5370" max="5370" width="5.5703125" style="2" customWidth="1"/>
    <col min="5371" max="5371" width="11.42578125" style="2" hidden="1" customWidth="1"/>
    <col min="5372" max="5372" width="7.42578125" style="2" customWidth="1"/>
    <col min="5373" max="5373" width="12.5703125" style="2" customWidth="1"/>
    <col min="5374" max="5374" width="14.28515625" style="2" customWidth="1"/>
    <col min="5375" max="5375" width="11.7109375" style="2" customWidth="1"/>
    <col min="5376" max="5376" width="9.7109375" style="2" customWidth="1"/>
    <col min="5377" max="5377" width="9" style="2" customWidth="1"/>
    <col min="5378" max="5378" width="10.7109375" style="2" customWidth="1"/>
    <col min="5379" max="5379" width="15.28515625" style="2" customWidth="1"/>
    <col min="5380" max="5380" width="16.7109375" style="2" customWidth="1"/>
    <col min="5381" max="5391" width="11.42578125" style="2" hidden="1" customWidth="1"/>
    <col min="5392" max="5392" width="7.5703125" style="2" customWidth="1"/>
    <col min="5393" max="5393" width="11.42578125" style="2" hidden="1" customWidth="1"/>
    <col min="5394" max="5397" width="7.7109375" style="2" customWidth="1"/>
    <col min="5398" max="5622" width="11.42578125" style="2"/>
    <col min="5623" max="5625" width="3.85546875" style="2" customWidth="1"/>
    <col min="5626" max="5626" width="5.5703125" style="2" customWidth="1"/>
    <col min="5627" max="5627" width="11.42578125" style="2" hidden="1" customWidth="1"/>
    <col min="5628" max="5628" width="7.42578125" style="2" customWidth="1"/>
    <col min="5629" max="5629" width="12.5703125" style="2" customWidth="1"/>
    <col min="5630" max="5630" width="14.28515625" style="2" customWidth="1"/>
    <col min="5631" max="5631" width="11.7109375" style="2" customWidth="1"/>
    <col min="5632" max="5632" width="9.7109375" style="2" customWidth="1"/>
    <col min="5633" max="5633" width="9" style="2" customWidth="1"/>
    <col min="5634" max="5634" width="10.7109375" style="2" customWidth="1"/>
    <col min="5635" max="5635" width="15.28515625" style="2" customWidth="1"/>
    <col min="5636" max="5636" width="16.7109375" style="2" customWidth="1"/>
    <col min="5637" max="5647" width="11.42578125" style="2" hidden="1" customWidth="1"/>
    <col min="5648" max="5648" width="7.5703125" style="2" customWidth="1"/>
    <col min="5649" max="5649" width="11.42578125" style="2" hidden="1" customWidth="1"/>
    <col min="5650" max="5653" width="7.7109375" style="2" customWidth="1"/>
    <col min="5654" max="5878" width="11.42578125" style="2"/>
    <col min="5879" max="5881" width="3.85546875" style="2" customWidth="1"/>
    <col min="5882" max="5882" width="5.5703125" style="2" customWidth="1"/>
    <col min="5883" max="5883" width="11.42578125" style="2" hidden="1" customWidth="1"/>
    <col min="5884" max="5884" width="7.42578125" style="2" customWidth="1"/>
    <col min="5885" max="5885" width="12.5703125" style="2" customWidth="1"/>
    <col min="5886" max="5886" width="14.28515625" style="2" customWidth="1"/>
    <col min="5887" max="5887" width="11.7109375" style="2" customWidth="1"/>
    <col min="5888" max="5888" width="9.7109375" style="2" customWidth="1"/>
    <col min="5889" max="5889" width="9" style="2" customWidth="1"/>
    <col min="5890" max="5890" width="10.7109375" style="2" customWidth="1"/>
    <col min="5891" max="5891" width="15.28515625" style="2" customWidth="1"/>
    <col min="5892" max="5892" width="16.7109375" style="2" customWidth="1"/>
    <col min="5893" max="5903" width="11.42578125" style="2" hidden="1" customWidth="1"/>
    <col min="5904" max="5904" width="7.5703125" style="2" customWidth="1"/>
    <col min="5905" max="5905" width="11.42578125" style="2" hidden="1" customWidth="1"/>
    <col min="5906" max="5909" width="7.7109375" style="2" customWidth="1"/>
    <col min="5910" max="6134" width="11.42578125" style="2"/>
    <col min="6135" max="6137" width="3.85546875" style="2" customWidth="1"/>
    <col min="6138" max="6138" width="5.5703125" style="2" customWidth="1"/>
    <col min="6139" max="6139" width="11.42578125" style="2" hidden="1" customWidth="1"/>
    <col min="6140" max="6140" width="7.42578125" style="2" customWidth="1"/>
    <col min="6141" max="6141" width="12.5703125" style="2" customWidth="1"/>
    <col min="6142" max="6142" width="14.28515625" style="2" customWidth="1"/>
    <col min="6143" max="6143" width="11.7109375" style="2" customWidth="1"/>
    <col min="6144" max="6144" width="9.7109375" style="2" customWidth="1"/>
    <col min="6145" max="6145" width="9" style="2" customWidth="1"/>
    <col min="6146" max="6146" width="10.7109375" style="2" customWidth="1"/>
    <col min="6147" max="6147" width="15.28515625" style="2" customWidth="1"/>
    <col min="6148" max="6148" width="16.7109375" style="2" customWidth="1"/>
    <col min="6149" max="6159" width="11.42578125" style="2" hidden="1" customWidth="1"/>
    <col min="6160" max="6160" width="7.5703125" style="2" customWidth="1"/>
    <col min="6161" max="6161" width="11.42578125" style="2" hidden="1" customWidth="1"/>
    <col min="6162" max="6165" width="7.7109375" style="2" customWidth="1"/>
    <col min="6166" max="6390" width="11.42578125" style="2"/>
    <col min="6391" max="6393" width="3.85546875" style="2" customWidth="1"/>
    <col min="6394" max="6394" width="5.5703125" style="2" customWidth="1"/>
    <col min="6395" max="6395" width="11.42578125" style="2" hidden="1" customWidth="1"/>
    <col min="6396" max="6396" width="7.42578125" style="2" customWidth="1"/>
    <col min="6397" max="6397" width="12.5703125" style="2" customWidth="1"/>
    <col min="6398" max="6398" width="14.28515625" style="2" customWidth="1"/>
    <col min="6399" max="6399" width="11.7109375" style="2" customWidth="1"/>
    <col min="6400" max="6400" width="9.7109375" style="2" customWidth="1"/>
    <col min="6401" max="6401" width="9" style="2" customWidth="1"/>
    <col min="6402" max="6402" width="10.7109375" style="2" customWidth="1"/>
    <col min="6403" max="6403" width="15.28515625" style="2" customWidth="1"/>
    <col min="6404" max="6404" width="16.7109375" style="2" customWidth="1"/>
    <col min="6405" max="6415" width="11.42578125" style="2" hidden="1" customWidth="1"/>
    <col min="6416" max="6416" width="7.5703125" style="2" customWidth="1"/>
    <col min="6417" max="6417" width="11.42578125" style="2" hidden="1" customWidth="1"/>
    <col min="6418" max="6421" width="7.7109375" style="2" customWidth="1"/>
    <col min="6422" max="6646" width="11.42578125" style="2"/>
    <col min="6647" max="6649" width="3.85546875" style="2" customWidth="1"/>
    <col min="6650" max="6650" width="5.5703125" style="2" customWidth="1"/>
    <col min="6651" max="6651" width="11.42578125" style="2" hidden="1" customWidth="1"/>
    <col min="6652" max="6652" width="7.42578125" style="2" customWidth="1"/>
    <col min="6653" max="6653" width="12.5703125" style="2" customWidth="1"/>
    <col min="6654" max="6654" width="14.28515625" style="2" customWidth="1"/>
    <col min="6655" max="6655" width="11.7109375" style="2" customWidth="1"/>
    <col min="6656" max="6656" width="9.7109375" style="2" customWidth="1"/>
    <col min="6657" max="6657" width="9" style="2" customWidth="1"/>
    <col min="6658" max="6658" width="10.7109375" style="2" customWidth="1"/>
    <col min="6659" max="6659" width="15.28515625" style="2" customWidth="1"/>
    <col min="6660" max="6660" width="16.7109375" style="2" customWidth="1"/>
    <col min="6661" max="6671" width="11.42578125" style="2" hidden="1" customWidth="1"/>
    <col min="6672" max="6672" width="7.5703125" style="2" customWidth="1"/>
    <col min="6673" max="6673" width="11.42578125" style="2" hidden="1" customWidth="1"/>
    <col min="6674" max="6677" width="7.7109375" style="2" customWidth="1"/>
    <col min="6678" max="6902" width="11.42578125" style="2"/>
    <col min="6903" max="6905" width="3.85546875" style="2" customWidth="1"/>
    <col min="6906" max="6906" width="5.5703125" style="2" customWidth="1"/>
    <col min="6907" max="6907" width="11.42578125" style="2" hidden="1" customWidth="1"/>
    <col min="6908" max="6908" width="7.42578125" style="2" customWidth="1"/>
    <col min="6909" max="6909" width="12.5703125" style="2" customWidth="1"/>
    <col min="6910" max="6910" width="14.28515625" style="2" customWidth="1"/>
    <col min="6911" max="6911" width="11.7109375" style="2" customWidth="1"/>
    <col min="6912" max="6912" width="9.7109375" style="2" customWidth="1"/>
    <col min="6913" max="6913" width="9" style="2" customWidth="1"/>
    <col min="6914" max="6914" width="10.7109375" style="2" customWidth="1"/>
    <col min="6915" max="6915" width="15.28515625" style="2" customWidth="1"/>
    <col min="6916" max="6916" width="16.7109375" style="2" customWidth="1"/>
    <col min="6917" max="6927" width="11.42578125" style="2" hidden="1" customWidth="1"/>
    <col min="6928" max="6928" width="7.5703125" style="2" customWidth="1"/>
    <col min="6929" max="6929" width="11.42578125" style="2" hidden="1" customWidth="1"/>
    <col min="6930" max="6933" width="7.7109375" style="2" customWidth="1"/>
    <col min="6934" max="7158" width="11.42578125" style="2"/>
    <col min="7159" max="7161" width="3.85546875" style="2" customWidth="1"/>
    <col min="7162" max="7162" width="5.5703125" style="2" customWidth="1"/>
    <col min="7163" max="7163" width="11.42578125" style="2" hidden="1" customWidth="1"/>
    <col min="7164" max="7164" width="7.42578125" style="2" customWidth="1"/>
    <col min="7165" max="7165" width="12.5703125" style="2" customWidth="1"/>
    <col min="7166" max="7166" width="14.28515625" style="2" customWidth="1"/>
    <col min="7167" max="7167" width="11.7109375" style="2" customWidth="1"/>
    <col min="7168" max="7168" width="9.7109375" style="2" customWidth="1"/>
    <col min="7169" max="7169" width="9" style="2" customWidth="1"/>
    <col min="7170" max="7170" width="10.7109375" style="2" customWidth="1"/>
    <col min="7171" max="7171" width="15.28515625" style="2" customWidth="1"/>
    <col min="7172" max="7172" width="16.7109375" style="2" customWidth="1"/>
    <col min="7173" max="7183" width="11.42578125" style="2" hidden="1" customWidth="1"/>
    <col min="7184" max="7184" width="7.5703125" style="2" customWidth="1"/>
    <col min="7185" max="7185" width="11.42578125" style="2" hidden="1" customWidth="1"/>
    <col min="7186" max="7189" width="7.7109375" style="2" customWidth="1"/>
    <col min="7190" max="7414" width="11.42578125" style="2"/>
    <col min="7415" max="7417" width="3.85546875" style="2" customWidth="1"/>
    <col min="7418" max="7418" width="5.5703125" style="2" customWidth="1"/>
    <col min="7419" max="7419" width="11.42578125" style="2" hidden="1" customWidth="1"/>
    <col min="7420" max="7420" width="7.42578125" style="2" customWidth="1"/>
    <col min="7421" max="7421" width="12.5703125" style="2" customWidth="1"/>
    <col min="7422" max="7422" width="14.28515625" style="2" customWidth="1"/>
    <col min="7423" max="7423" width="11.7109375" style="2" customWidth="1"/>
    <col min="7424" max="7424" width="9.7109375" style="2" customWidth="1"/>
    <col min="7425" max="7425" width="9" style="2" customWidth="1"/>
    <col min="7426" max="7426" width="10.7109375" style="2" customWidth="1"/>
    <col min="7427" max="7427" width="15.28515625" style="2" customWidth="1"/>
    <col min="7428" max="7428" width="16.7109375" style="2" customWidth="1"/>
    <col min="7429" max="7439" width="11.42578125" style="2" hidden="1" customWidth="1"/>
    <col min="7440" max="7440" width="7.5703125" style="2" customWidth="1"/>
    <col min="7441" max="7441" width="11.42578125" style="2" hidden="1" customWidth="1"/>
    <col min="7442" max="7445" width="7.7109375" style="2" customWidth="1"/>
    <col min="7446" max="7670" width="11.42578125" style="2"/>
    <col min="7671" max="7673" width="3.85546875" style="2" customWidth="1"/>
    <col min="7674" max="7674" width="5.5703125" style="2" customWidth="1"/>
    <col min="7675" max="7675" width="11.42578125" style="2" hidden="1" customWidth="1"/>
    <col min="7676" max="7676" width="7.42578125" style="2" customWidth="1"/>
    <col min="7677" max="7677" width="12.5703125" style="2" customWidth="1"/>
    <col min="7678" max="7678" width="14.28515625" style="2" customWidth="1"/>
    <col min="7679" max="7679" width="11.7109375" style="2" customWidth="1"/>
    <col min="7680" max="7680" width="9.7109375" style="2" customWidth="1"/>
    <col min="7681" max="7681" width="9" style="2" customWidth="1"/>
    <col min="7682" max="7682" width="10.7109375" style="2" customWidth="1"/>
    <col min="7683" max="7683" width="15.28515625" style="2" customWidth="1"/>
    <col min="7684" max="7684" width="16.7109375" style="2" customWidth="1"/>
    <col min="7685" max="7695" width="11.42578125" style="2" hidden="1" customWidth="1"/>
    <col min="7696" max="7696" width="7.5703125" style="2" customWidth="1"/>
    <col min="7697" max="7697" width="11.42578125" style="2" hidden="1" customWidth="1"/>
    <col min="7698" max="7701" width="7.7109375" style="2" customWidth="1"/>
    <col min="7702" max="7926" width="11.42578125" style="2"/>
    <col min="7927" max="7929" width="3.85546875" style="2" customWidth="1"/>
    <col min="7930" max="7930" width="5.5703125" style="2" customWidth="1"/>
    <col min="7931" max="7931" width="11.42578125" style="2" hidden="1" customWidth="1"/>
    <col min="7932" max="7932" width="7.42578125" style="2" customWidth="1"/>
    <col min="7933" max="7933" width="12.5703125" style="2" customWidth="1"/>
    <col min="7934" max="7934" width="14.28515625" style="2" customWidth="1"/>
    <col min="7935" max="7935" width="11.7109375" style="2" customWidth="1"/>
    <col min="7936" max="7936" width="9.7109375" style="2" customWidth="1"/>
    <col min="7937" max="7937" width="9" style="2" customWidth="1"/>
    <col min="7938" max="7938" width="10.7109375" style="2" customWidth="1"/>
    <col min="7939" max="7939" width="15.28515625" style="2" customWidth="1"/>
    <col min="7940" max="7940" width="16.7109375" style="2" customWidth="1"/>
    <col min="7941" max="7951" width="11.42578125" style="2" hidden="1" customWidth="1"/>
    <col min="7952" max="7952" width="7.5703125" style="2" customWidth="1"/>
    <col min="7953" max="7953" width="11.42578125" style="2" hidden="1" customWidth="1"/>
    <col min="7954" max="7957" width="7.7109375" style="2" customWidth="1"/>
    <col min="7958" max="8182" width="11.42578125" style="2"/>
    <col min="8183" max="8185" width="3.85546875" style="2" customWidth="1"/>
    <col min="8186" max="8186" width="5.5703125" style="2" customWidth="1"/>
    <col min="8187" max="8187" width="11.42578125" style="2" hidden="1" customWidth="1"/>
    <col min="8188" max="8188" width="7.42578125" style="2" customWidth="1"/>
    <col min="8189" max="8189" width="12.5703125" style="2" customWidth="1"/>
    <col min="8190" max="8190" width="14.28515625" style="2" customWidth="1"/>
    <col min="8191" max="8191" width="11.7109375" style="2" customWidth="1"/>
    <col min="8192" max="8192" width="9.7109375" style="2" customWidth="1"/>
    <col min="8193" max="8193" width="9" style="2" customWidth="1"/>
    <col min="8194" max="8194" width="10.7109375" style="2" customWidth="1"/>
    <col min="8195" max="8195" width="15.28515625" style="2" customWidth="1"/>
    <col min="8196" max="8196" width="16.7109375" style="2" customWidth="1"/>
    <col min="8197" max="8207" width="11.42578125" style="2" hidden="1" customWidth="1"/>
    <col min="8208" max="8208" width="7.5703125" style="2" customWidth="1"/>
    <col min="8209" max="8209" width="11.42578125" style="2" hidden="1" customWidth="1"/>
    <col min="8210" max="8213" width="7.7109375" style="2" customWidth="1"/>
    <col min="8214" max="8438" width="11.42578125" style="2"/>
    <col min="8439" max="8441" width="3.85546875" style="2" customWidth="1"/>
    <col min="8442" max="8442" width="5.5703125" style="2" customWidth="1"/>
    <col min="8443" max="8443" width="11.42578125" style="2" hidden="1" customWidth="1"/>
    <col min="8444" max="8444" width="7.42578125" style="2" customWidth="1"/>
    <col min="8445" max="8445" width="12.5703125" style="2" customWidth="1"/>
    <col min="8446" max="8446" width="14.28515625" style="2" customWidth="1"/>
    <col min="8447" max="8447" width="11.7109375" style="2" customWidth="1"/>
    <col min="8448" max="8448" width="9.7109375" style="2" customWidth="1"/>
    <col min="8449" max="8449" width="9" style="2" customWidth="1"/>
    <col min="8450" max="8450" width="10.7109375" style="2" customWidth="1"/>
    <col min="8451" max="8451" width="15.28515625" style="2" customWidth="1"/>
    <col min="8452" max="8452" width="16.7109375" style="2" customWidth="1"/>
    <col min="8453" max="8463" width="11.42578125" style="2" hidden="1" customWidth="1"/>
    <col min="8464" max="8464" width="7.5703125" style="2" customWidth="1"/>
    <col min="8465" max="8465" width="11.42578125" style="2" hidden="1" customWidth="1"/>
    <col min="8466" max="8469" width="7.7109375" style="2" customWidth="1"/>
    <col min="8470" max="8694" width="11.42578125" style="2"/>
    <col min="8695" max="8697" width="3.85546875" style="2" customWidth="1"/>
    <col min="8698" max="8698" width="5.5703125" style="2" customWidth="1"/>
    <col min="8699" max="8699" width="11.42578125" style="2" hidden="1" customWidth="1"/>
    <col min="8700" max="8700" width="7.42578125" style="2" customWidth="1"/>
    <col min="8701" max="8701" width="12.5703125" style="2" customWidth="1"/>
    <col min="8702" max="8702" width="14.28515625" style="2" customWidth="1"/>
    <col min="8703" max="8703" width="11.7109375" style="2" customWidth="1"/>
    <col min="8704" max="8704" width="9.7109375" style="2" customWidth="1"/>
    <col min="8705" max="8705" width="9" style="2" customWidth="1"/>
    <col min="8706" max="8706" width="10.7109375" style="2" customWidth="1"/>
    <col min="8707" max="8707" width="15.28515625" style="2" customWidth="1"/>
    <col min="8708" max="8708" width="16.7109375" style="2" customWidth="1"/>
    <col min="8709" max="8719" width="11.42578125" style="2" hidden="1" customWidth="1"/>
    <col min="8720" max="8720" width="7.5703125" style="2" customWidth="1"/>
    <col min="8721" max="8721" width="11.42578125" style="2" hidden="1" customWidth="1"/>
    <col min="8722" max="8725" width="7.7109375" style="2" customWidth="1"/>
    <col min="8726" max="8950" width="11.42578125" style="2"/>
    <col min="8951" max="8953" width="3.85546875" style="2" customWidth="1"/>
    <col min="8954" max="8954" width="5.5703125" style="2" customWidth="1"/>
    <col min="8955" max="8955" width="11.42578125" style="2" hidden="1" customWidth="1"/>
    <col min="8956" max="8956" width="7.42578125" style="2" customWidth="1"/>
    <col min="8957" max="8957" width="12.5703125" style="2" customWidth="1"/>
    <col min="8958" max="8958" width="14.28515625" style="2" customWidth="1"/>
    <col min="8959" max="8959" width="11.7109375" style="2" customWidth="1"/>
    <col min="8960" max="8960" width="9.7109375" style="2" customWidth="1"/>
    <col min="8961" max="8961" width="9" style="2" customWidth="1"/>
    <col min="8962" max="8962" width="10.7109375" style="2" customWidth="1"/>
    <col min="8963" max="8963" width="15.28515625" style="2" customWidth="1"/>
    <col min="8964" max="8964" width="16.7109375" style="2" customWidth="1"/>
    <col min="8965" max="8975" width="11.42578125" style="2" hidden="1" customWidth="1"/>
    <col min="8976" max="8976" width="7.5703125" style="2" customWidth="1"/>
    <col min="8977" max="8977" width="11.42578125" style="2" hidden="1" customWidth="1"/>
    <col min="8978" max="8981" width="7.7109375" style="2" customWidth="1"/>
    <col min="8982" max="9206" width="11.42578125" style="2"/>
    <col min="9207" max="9209" width="3.85546875" style="2" customWidth="1"/>
    <col min="9210" max="9210" width="5.5703125" style="2" customWidth="1"/>
    <col min="9211" max="9211" width="11.42578125" style="2" hidden="1" customWidth="1"/>
    <col min="9212" max="9212" width="7.42578125" style="2" customWidth="1"/>
    <col min="9213" max="9213" width="12.5703125" style="2" customWidth="1"/>
    <col min="9214" max="9214" width="14.28515625" style="2" customWidth="1"/>
    <col min="9215" max="9215" width="11.7109375" style="2" customWidth="1"/>
    <col min="9216" max="9216" width="9.7109375" style="2" customWidth="1"/>
    <col min="9217" max="9217" width="9" style="2" customWidth="1"/>
    <col min="9218" max="9218" width="10.7109375" style="2" customWidth="1"/>
    <col min="9219" max="9219" width="15.28515625" style="2" customWidth="1"/>
    <col min="9220" max="9220" width="16.7109375" style="2" customWidth="1"/>
    <col min="9221" max="9231" width="11.42578125" style="2" hidden="1" customWidth="1"/>
    <col min="9232" max="9232" width="7.5703125" style="2" customWidth="1"/>
    <col min="9233" max="9233" width="11.42578125" style="2" hidden="1" customWidth="1"/>
    <col min="9234" max="9237" width="7.7109375" style="2" customWidth="1"/>
    <col min="9238" max="9462" width="11.42578125" style="2"/>
    <col min="9463" max="9465" width="3.85546875" style="2" customWidth="1"/>
    <col min="9466" max="9466" width="5.5703125" style="2" customWidth="1"/>
    <col min="9467" max="9467" width="11.42578125" style="2" hidden="1" customWidth="1"/>
    <col min="9468" max="9468" width="7.42578125" style="2" customWidth="1"/>
    <col min="9469" max="9469" width="12.5703125" style="2" customWidth="1"/>
    <col min="9470" max="9470" width="14.28515625" style="2" customWidth="1"/>
    <col min="9471" max="9471" width="11.7109375" style="2" customWidth="1"/>
    <col min="9472" max="9472" width="9.7109375" style="2" customWidth="1"/>
    <col min="9473" max="9473" width="9" style="2" customWidth="1"/>
    <col min="9474" max="9474" width="10.7109375" style="2" customWidth="1"/>
    <col min="9475" max="9475" width="15.28515625" style="2" customWidth="1"/>
    <col min="9476" max="9476" width="16.7109375" style="2" customWidth="1"/>
    <col min="9477" max="9487" width="11.42578125" style="2" hidden="1" customWidth="1"/>
    <col min="9488" max="9488" width="7.5703125" style="2" customWidth="1"/>
    <col min="9489" max="9489" width="11.42578125" style="2" hidden="1" customWidth="1"/>
    <col min="9490" max="9493" width="7.7109375" style="2" customWidth="1"/>
    <col min="9494" max="9718" width="11.42578125" style="2"/>
    <col min="9719" max="9721" width="3.85546875" style="2" customWidth="1"/>
    <col min="9722" max="9722" width="5.5703125" style="2" customWidth="1"/>
    <col min="9723" max="9723" width="11.42578125" style="2" hidden="1" customWidth="1"/>
    <col min="9724" max="9724" width="7.42578125" style="2" customWidth="1"/>
    <col min="9725" max="9725" width="12.5703125" style="2" customWidth="1"/>
    <col min="9726" max="9726" width="14.28515625" style="2" customWidth="1"/>
    <col min="9727" max="9727" width="11.7109375" style="2" customWidth="1"/>
    <col min="9728" max="9728" width="9.7109375" style="2" customWidth="1"/>
    <col min="9729" max="9729" width="9" style="2" customWidth="1"/>
    <col min="9730" max="9730" width="10.7109375" style="2" customWidth="1"/>
    <col min="9731" max="9731" width="15.28515625" style="2" customWidth="1"/>
    <col min="9732" max="9732" width="16.7109375" style="2" customWidth="1"/>
    <col min="9733" max="9743" width="11.42578125" style="2" hidden="1" customWidth="1"/>
    <col min="9744" max="9744" width="7.5703125" style="2" customWidth="1"/>
    <col min="9745" max="9745" width="11.42578125" style="2" hidden="1" customWidth="1"/>
    <col min="9746" max="9749" width="7.7109375" style="2" customWidth="1"/>
    <col min="9750" max="9974" width="11.42578125" style="2"/>
    <col min="9975" max="9977" width="3.85546875" style="2" customWidth="1"/>
    <col min="9978" max="9978" width="5.5703125" style="2" customWidth="1"/>
    <col min="9979" max="9979" width="11.42578125" style="2" hidden="1" customWidth="1"/>
    <col min="9980" max="9980" width="7.42578125" style="2" customWidth="1"/>
    <col min="9981" max="9981" width="12.5703125" style="2" customWidth="1"/>
    <col min="9982" max="9982" width="14.28515625" style="2" customWidth="1"/>
    <col min="9983" max="9983" width="11.7109375" style="2" customWidth="1"/>
    <col min="9984" max="9984" width="9.7109375" style="2" customWidth="1"/>
    <col min="9985" max="9985" width="9" style="2" customWidth="1"/>
    <col min="9986" max="9986" width="10.7109375" style="2" customWidth="1"/>
    <col min="9987" max="9987" width="15.28515625" style="2" customWidth="1"/>
    <col min="9988" max="9988" width="16.7109375" style="2" customWidth="1"/>
    <col min="9989" max="9999" width="11.42578125" style="2" hidden="1" customWidth="1"/>
    <col min="10000" max="10000" width="7.5703125" style="2" customWidth="1"/>
    <col min="10001" max="10001" width="11.42578125" style="2" hidden="1" customWidth="1"/>
    <col min="10002" max="10005" width="7.7109375" style="2" customWidth="1"/>
    <col min="10006" max="10230" width="11.42578125" style="2"/>
    <col min="10231" max="10233" width="3.85546875" style="2" customWidth="1"/>
    <col min="10234" max="10234" width="5.5703125" style="2" customWidth="1"/>
    <col min="10235" max="10235" width="11.42578125" style="2" hidden="1" customWidth="1"/>
    <col min="10236" max="10236" width="7.42578125" style="2" customWidth="1"/>
    <col min="10237" max="10237" width="12.5703125" style="2" customWidth="1"/>
    <col min="10238" max="10238" width="14.28515625" style="2" customWidth="1"/>
    <col min="10239" max="10239" width="11.7109375" style="2" customWidth="1"/>
    <col min="10240" max="10240" width="9.7109375" style="2" customWidth="1"/>
    <col min="10241" max="10241" width="9" style="2" customWidth="1"/>
    <col min="10242" max="10242" width="10.7109375" style="2" customWidth="1"/>
    <col min="10243" max="10243" width="15.28515625" style="2" customWidth="1"/>
    <col min="10244" max="10244" width="16.7109375" style="2" customWidth="1"/>
    <col min="10245" max="10255" width="11.42578125" style="2" hidden="1" customWidth="1"/>
    <col min="10256" max="10256" width="7.5703125" style="2" customWidth="1"/>
    <col min="10257" max="10257" width="11.42578125" style="2" hidden="1" customWidth="1"/>
    <col min="10258" max="10261" width="7.7109375" style="2" customWidth="1"/>
    <col min="10262" max="10486" width="11.42578125" style="2"/>
    <col min="10487" max="10489" width="3.85546875" style="2" customWidth="1"/>
    <col min="10490" max="10490" width="5.5703125" style="2" customWidth="1"/>
    <col min="10491" max="10491" width="11.42578125" style="2" hidden="1" customWidth="1"/>
    <col min="10492" max="10492" width="7.42578125" style="2" customWidth="1"/>
    <col min="10493" max="10493" width="12.5703125" style="2" customWidth="1"/>
    <col min="10494" max="10494" width="14.28515625" style="2" customWidth="1"/>
    <col min="10495" max="10495" width="11.7109375" style="2" customWidth="1"/>
    <col min="10496" max="10496" width="9.7109375" style="2" customWidth="1"/>
    <col min="10497" max="10497" width="9" style="2" customWidth="1"/>
    <col min="10498" max="10498" width="10.7109375" style="2" customWidth="1"/>
    <col min="10499" max="10499" width="15.28515625" style="2" customWidth="1"/>
    <col min="10500" max="10500" width="16.7109375" style="2" customWidth="1"/>
    <col min="10501" max="10511" width="11.42578125" style="2" hidden="1" customWidth="1"/>
    <col min="10512" max="10512" width="7.5703125" style="2" customWidth="1"/>
    <col min="10513" max="10513" width="11.42578125" style="2" hidden="1" customWidth="1"/>
    <col min="10514" max="10517" width="7.7109375" style="2" customWidth="1"/>
    <col min="10518" max="10742" width="11.42578125" style="2"/>
    <col min="10743" max="10745" width="3.85546875" style="2" customWidth="1"/>
    <col min="10746" max="10746" width="5.5703125" style="2" customWidth="1"/>
    <col min="10747" max="10747" width="11.42578125" style="2" hidden="1" customWidth="1"/>
    <col min="10748" max="10748" width="7.42578125" style="2" customWidth="1"/>
    <col min="10749" max="10749" width="12.5703125" style="2" customWidth="1"/>
    <col min="10750" max="10750" width="14.28515625" style="2" customWidth="1"/>
    <col min="10751" max="10751" width="11.7109375" style="2" customWidth="1"/>
    <col min="10752" max="10752" width="9.7109375" style="2" customWidth="1"/>
    <col min="10753" max="10753" width="9" style="2" customWidth="1"/>
    <col min="10754" max="10754" width="10.7109375" style="2" customWidth="1"/>
    <col min="10755" max="10755" width="15.28515625" style="2" customWidth="1"/>
    <col min="10756" max="10756" width="16.7109375" style="2" customWidth="1"/>
    <col min="10757" max="10767" width="11.42578125" style="2" hidden="1" customWidth="1"/>
    <col min="10768" max="10768" width="7.5703125" style="2" customWidth="1"/>
    <col min="10769" max="10769" width="11.42578125" style="2" hidden="1" customWidth="1"/>
    <col min="10770" max="10773" width="7.7109375" style="2" customWidth="1"/>
    <col min="10774" max="10998" width="11.42578125" style="2"/>
    <col min="10999" max="11001" width="3.85546875" style="2" customWidth="1"/>
    <col min="11002" max="11002" width="5.5703125" style="2" customWidth="1"/>
    <col min="11003" max="11003" width="11.42578125" style="2" hidden="1" customWidth="1"/>
    <col min="11004" max="11004" width="7.42578125" style="2" customWidth="1"/>
    <col min="11005" max="11005" width="12.5703125" style="2" customWidth="1"/>
    <col min="11006" max="11006" width="14.28515625" style="2" customWidth="1"/>
    <col min="11007" max="11007" width="11.7109375" style="2" customWidth="1"/>
    <col min="11008" max="11008" width="9.7109375" style="2" customWidth="1"/>
    <col min="11009" max="11009" width="9" style="2" customWidth="1"/>
    <col min="11010" max="11010" width="10.7109375" style="2" customWidth="1"/>
    <col min="11011" max="11011" width="15.28515625" style="2" customWidth="1"/>
    <col min="11012" max="11012" width="16.7109375" style="2" customWidth="1"/>
    <col min="11013" max="11023" width="11.42578125" style="2" hidden="1" customWidth="1"/>
    <col min="11024" max="11024" width="7.5703125" style="2" customWidth="1"/>
    <col min="11025" max="11025" width="11.42578125" style="2" hidden="1" customWidth="1"/>
    <col min="11026" max="11029" width="7.7109375" style="2" customWidth="1"/>
    <col min="11030" max="11254" width="11.42578125" style="2"/>
    <col min="11255" max="11257" width="3.85546875" style="2" customWidth="1"/>
    <col min="11258" max="11258" width="5.5703125" style="2" customWidth="1"/>
    <col min="11259" max="11259" width="11.42578125" style="2" hidden="1" customWidth="1"/>
    <col min="11260" max="11260" width="7.42578125" style="2" customWidth="1"/>
    <col min="11261" max="11261" width="12.5703125" style="2" customWidth="1"/>
    <col min="11262" max="11262" width="14.28515625" style="2" customWidth="1"/>
    <col min="11263" max="11263" width="11.7109375" style="2" customWidth="1"/>
    <col min="11264" max="11264" width="9.7109375" style="2" customWidth="1"/>
    <col min="11265" max="11265" width="9" style="2" customWidth="1"/>
    <col min="11266" max="11266" width="10.7109375" style="2" customWidth="1"/>
    <col min="11267" max="11267" width="15.28515625" style="2" customWidth="1"/>
    <col min="11268" max="11268" width="16.7109375" style="2" customWidth="1"/>
    <col min="11269" max="11279" width="11.42578125" style="2" hidden="1" customWidth="1"/>
    <col min="11280" max="11280" width="7.5703125" style="2" customWidth="1"/>
    <col min="11281" max="11281" width="11.42578125" style="2" hidden="1" customWidth="1"/>
    <col min="11282" max="11285" width="7.7109375" style="2" customWidth="1"/>
    <col min="11286" max="11510" width="11.42578125" style="2"/>
    <col min="11511" max="11513" width="3.85546875" style="2" customWidth="1"/>
    <col min="11514" max="11514" width="5.5703125" style="2" customWidth="1"/>
    <col min="11515" max="11515" width="11.42578125" style="2" hidden="1" customWidth="1"/>
    <col min="11516" max="11516" width="7.42578125" style="2" customWidth="1"/>
    <col min="11517" max="11517" width="12.5703125" style="2" customWidth="1"/>
    <col min="11518" max="11518" width="14.28515625" style="2" customWidth="1"/>
    <col min="11519" max="11519" width="11.7109375" style="2" customWidth="1"/>
    <col min="11520" max="11520" width="9.7109375" style="2" customWidth="1"/>
    <col min="11521" max="11521" width="9" style="2" customWidth="1"/>
    <col min="11522" max="11522" width="10.7109375" style="2" customWidth="1"/>
    <col min="11523" max="11523" width="15.28515625" style="2" customWidth="1"/>
    <col min="11524" max="11524" width="16.7109375" style="2" customWidth="1"/>
    <col min="11525" max="11535" width="11.42578125" style="2" hidden="1" customWidth="1"/>
    <col min="11536" max="11536" width="7.5703125" style="2" customWidth="1"/>
    <col min="11537" max="11537" width="11.42578125" style="2" hidden="1" customWidth="1"/>
    <col min="11538" max="11541" width="7.7109375" style="2" customWidth="1"/>
    <col min="11542" max="11766" width="11.42578125" style="2"/>
    <col min="11767" max="11769" width="3.85546875" style="2" customWidth="1"/>
    <col min="11770" max="11770" width="5.5703125" style="2" customWidth="1"/>
    <col min="11771" max="11771" width="11.42578125" style="2" hidden="1" customWidth="1"/>
    <col min="11772" max="11772" width="7.42578125" style="2" customWidth="1"/>
    <col min="11773" max="11773" width="12.5703125" style="2" customWidth="1"/>
    <col min="11774" max="11774" width="14.28515625" style="2" customWidth="1"/>
    <col min="11775" max="11775" width="11.7109375" style="2" customWidth="1"/>
    <col min="11776" max="11776" width="9.7109375" style="2" customWidth="1"/>
    <col min="11777" max="11777" width="9" style="2" customWidth="1"/>
    <col min="11778" max="11778" width="10.7109375" style="2" customWidth="1"/>
    <col min="11779" max="11779" width="15.28515625" style="2" customWidth="1"/>
    <col min="11780" max="11780" width="16.7109375" style="2" customWidth="1"/>
    <col min="11781" max="11791" width="11.42578125" style="2" hidden="1" customWidth="1"/>
    <col min="11792" max="11792" width="7.5703125" style="2" customWidth="1"/>
    <col min="11793" max="11793" width="11.42578125" style="2" hidden="1" customWidth="1"/>
    <col min="11794" max="11797" width="7.7109375" style="2" customWidth="1"/>
    <col min="11798" max="12022" width="11.42578125" style="2"/>
    <col min="12023" max="12025" width="3.85546875" style="2" customWidth="1"/>
    <col min="12026" max="12026" width="5.5703125" style="2" customWidth="1"/>
    <col min="12027" max="12027" width="11.42578125" style="2" hidden="1" customWidth="1"/>
    <col min="12028" max="12028" width="7.42578125" style="2" customWidth="1"/>
    <col min="12029" max="12029" width="12.5703125" style="2" customWidth="1"/>
    <col min="12030" max="12030" width="14.28515625" style="2" customWidth="1"/>
    <col min="12031" max="12031" width="11.7109375" style="2" customWidth="1"/>
    <col min="12032" max="12032" width="9.7109375" style="2" customWidth="1"/>
    <col min="12033" max="12033" width="9" style="2" customWidth="1"/>
    <col min="12034" max="12034" width="10.7109375" style="2" customWidth="1"/>
    <col min="12035" max="12035" width="15.28515625" style="2" customWidth="1"/>
    <col min="12036" max="12036" width="16.7109375" style="2" customWidth="1"/>
    <col min="12037" max="12047" width="11.42578125" style="2" hidden="1" customWidth="1"/>
    <col min="12048" max="12048" width="7.5703125" style="2" customWidth="1"/>
    <col min="12049" max="12049" width="11.42578125" style="2" hidden="1" customWidth="1"/>
    <col min="12050" max="12053" width="7.7109375" style="2" customWidth="1"/>
    <col min="12054" max="12278" width="11.42578125" style="2"/>
    <col min="12279" max="12281" width="3.85546875" style="2" customWidth="1"/>
    <col min="12282" max="12282" width="5.5703125" style="2" customWidth="1"/>
    <col min="12283" max="12283" width="11.42578125" style="2" hidden="1" customWidth="1"/>
    <col min="12284" max="12284" width="7.42578125" style="2" customWidth="1"/>
    <col min="12285" max="12285" width="12.5703125" style="2" customWidth="1"/>
    <col min="12286" max="12286" width="14.28515625" style="2" customWidth="1"/>
    <col min="12287" max="12287" width="11.7109375" style="2" customWidth="1"/>
    <col min="12288" max="12288" width="9.7109375" style="2" customWidth="1"/>
    <col min="12289" max="12289" width="9" style="2" customWidth="1"/>
    <col min="12290" max="12290" width="10.7109375" style="2" customWidth="1"/>
    <col min="12291" max="12291" width="15.28515625" style="2" customWidth="1"/>
    <col min="12292" max="12292" width="16.7109375" style="2" customWidth="1"/>
    <col min="12293" max="12303" width="11.42578125" style="2" hidden="1" customWidth="1"/>
    <col min="12304" max="12304" width="7.5703125" style="2" customWidth="1"/>
    <col min="12305" max="12305" width="11.42578125" style="2" hidden="1" customWidth="1"/>
    <col min="12306" max="12309" width="7.7109375" style="2" customWidth="1"/>
    <col min="12310" max="12534" width="11.42578125" style="2"/>
    <col min="12535" max="12537" width="3.85546875" style="2" customWidth="1"/>
    <col min="12538" max="12538" width="5.5703125" style="2" customWidth="1"/>
    <col min="12539" max="12539" width="11.42578125" style="2" hidden="1" customWidth="1"/>
    <col min="12540" max="12540" width="7.42578125" style="2" customWidth="1"/>
    <col min="12541" max="12541" width="12.5703125" style="2" customWidth="1"/>
    <col min="12542" max="12542" width="14.28515625" style="2" customWidth="1"/>
    <col min="12543" max="12543" width="11.7109375" style="2" customWidth="1"/>
    <col min="12544" max="12544" width="9.7109375" style="2" customWidth="1"/>
    <col min="12545" max="12545" width="9" style="2" customWidth="1"/>
    <col min="12546" max="12546" width="10.7109375" style="2" customWidth="1"/>
    <col min="12547" max="12547" width="15.28515625" style="2" customWidth="1"/>
    <col min="12548" max="12548" width="16.7109375" style="2" customWidth="1"/>
    <col min="12549" max="12559" width="11.42578125" style="2" hidden="1" customWidth="1"/>
    <col min="12560" max="12560" width="7.5703125" style="2" customWidth="1"/>
    <col min="12561" max="12561" width="11.42578125" style="2" hidden="1" customWidth="1"/>
    <col min="12562" max="12565" width="7.7109375" style="2" customWidth="1"/>
    <col min="12566" max="12790" width="11.42578125" style="2"/>
    <col min="12791" max="12793" width="3.85546875" style="2" customWidth="1"/>
    <col min="12794" max="12794" width="5.5703125" style="2" customWidth="1"/>
    <col min="12795" max="12795" width="11.42578125" style="2" hidden="1" customWidth="1"/>
    <col min="12796" max="12796" width="7.42578125" style="2" customWidth="1"/>
    <col min="12797" max="12797" width="12.5703125" style="2" customWidth="1"/>
    <col min="12798" max="12798" width="14.28515625" style="2" customWidth="1"/>
    <col min="12799" max="12799" width="11.7109375" style="2" customWidth="1"/>
    <col min="12800" max="12800" width="9.7109375" style="2" customWidth="1"/>
    <col min="12801" max="12801" width="9" style="2" customWidth="1"/>
    <col min="12802" max="12802" width="10.7109375" style="2" customWidth="1"/>
    <col min="12803" max="12803" width="15.28515625" style="2" customWidth="1"/>
    <col min="12804" max="12804" width="16.7109375" style="2" customWidth="1"/>
    <col min="12805" max="12815" width="11.42578125" style="2" hidden="1" customWidth="1"/>
    <col min="12816" max="12816" width="7.5703125" style="2" customWidth="1"/>
    <col min="12817" max="12817" width="11.42578125" style="2" hidden="1" customWidth="1"/>
    <col min="12818" max="12821" width="7.7109375" style="2" customWidth="1"/>
    <col min="12822" max="13046" width="11.42578125" style="2"/>
    <col min="13047" max="13049" width="3.85546875" style="2" customWidth="1"/>
    <col min="13050" max="13050" width="5.5703125" style="2" customWidth="1"/>
    <col min="13051" max="13051" width="11.42578125" style="2" hidden="1" customWidth="1"/>
    <col min="13052" max="13052" width="7.42578125" style="2" customWidth="1"/>
    <col min="13053" max="13053" width="12.5703125" style="2" customWidth="1"/>
    <col min="13054" max="13054" width="14.28515625" style="2" customWidth="1"/>
    <col min="13055" max="13055" width="11.7109375" style="2" customWidth="1"/>
    <col min="13056" max="13056" width="9.7109375" style="2" customWidth="1"/>
    <col min="13057" max="13057" width="9" style="2" customWidth="1"/>
    <col min="13058" max="13058" width="10.7109375" style="2" customWidth="1"/>
    <col min="13059" max="13059" width="15.28515625" style="2" customWidth="1"/>
    <col min="13060" max="13060" width="16.7109375" style="2" customWidth="1"/>
    <col min="13061" max="13071" width="11.42578125" style="2" hidden="1" customWidth="1"/>
    <col min="13072" max="13072" width="7.5703125" style="2" customWidth="1"/>
    <col min="13073" max="13073" width="11.42578125" style="2" hidden="1" customWidth="1"/>
    <col min="13074" max="13077" width="7.7109375" style="2" customWidth="1"/>
    <col min="13078" max="13302" width="11.42578125" style="2"/>
    <col min="13303" max="13305" width="3.85546875" style="2" customWidth="1"/>
    <col min="13306" max="13306" width="5.5703125" style="2" customWidth="1"/>
    <col min="13307" max="13307" width="11.42578125" style="2" hidden="1" customWidth="1"/>
    <col min="13308" max="13308" width="7.42578125" style="2" customWidth="1"/>
    <col min="13309" max="13309" width="12.5703125" style="2" customWidth="1"/>
    <col min="13310" max="13310" width="14.28515625" style="2" customWidth="1"/>
    <col min="13311" max="13311" width="11.7109375" style="2" customWidth="1"/>
    <col min="13312" max="13312" width="9.7109375" style="2" customWidth="1"/>
    <col min="13313" max="13313" width="9" style="2" customWidth="1"/>
    <col min="13314" max="13314" width="10.7109375" style="2" customWidth="1"/>
    <col min="13315" max="13315" width="15.28515625" style="2" customWidth="1"/>
    <col min="13316" max="13316" width="16.7109375" style="2" customWidth="1"/>
    <col min="13317" max="13327" width="11.42578125" style="2" hidden="1" customWidth="1"/>
    <col min="13328" max="13328" width="7.5703125" style="2" customWidth="1"/>
    <col min="13329" max="13329" width="11.42578125" style="2" hidden="1" customWidth="1"/>
    <col min="13330" max="13333" width="7.7109375" style="2" customWidth="1"/>
    <col min="13334" max="13558" width="11.42578125" style="2"/>
    <col min="13559" max="13561" width="3.85546875" style="2" customWidth="1"/>
    <col min="13562" max="13562" width="5.5703125" style="2" customWidth="1"/>
    <col min="13563" max="13563" width="11.42578125" style="2" hidden="1" customWidth="1"/>
    <col min="13564" max="13564" width="7.42578125" style="2" customWidth="1"/>
    <col min="13565" max="13565" width="12.5703125" style="2" customWidth="1"/>
    <col min="13566" max="13566" width="14.28515625" style="2" customWidth="1"/>
    <col min="13567" max="13567" width="11.7109375" style="2" customWidth="1"/>
    <col min="13568" max="13568" width="9.7109375" style="2" customWidth="1"/>
    <col min="13569" max="13569" width="9" style="2" customWidth="1"/>
    <col min="13570" max="13570" width="10.7109375" style="2" customWidth="1"/>
    <col min="13571" max="13571" width="15.28515625" style="2" customWidth="1"/>
    <col min="13572" max="13572" width="16.7109375" style="2" customWidth="1"/>
    <col min="13573" max="13583" width="11.42578125" style="2" hidden="1" customWidth="1"/>
    <col min="13584" max="13584" width="7.5703125" style="2" customWidth="1"/>
    <col min="13585" max="13585" width="11.42578125" style="2" hidden="1" customWidth="1"/>
    <col min="13586" max="13589" width="7.7109375" style="2" customWidth="1"/>
    <col min="13590" max="13814" width="11.42578125" style="2"/>
    <col min="13815" max="13817" width="3.85546875" style="2" customWidth="1"/>
    <col min="13818" max="13818" width="5.5703125" style="2" customWidth="1"/>
    <col min="13819" max="13819" width="11.42578125" style="2" hidden="1" customWidth="1"/>
    <col min="13820" max="13820" width="7.42578125" style="2" customWidth="1"/>
    <col min="13821" max="13821" width="12.5703125" style="2" customWidth="1"/>
    <col min="13822" max="13822" width="14.28515625" style="2" customWidth="1"/>
    <col min="13823" max="13823" width="11.7109375" style="2" customWidth="1"/>
    <col min="13824" max="13824" width="9.7109375" style="2" customWidth="1"/>
    <col min="13825" max="13825" width="9" style="2" customWidth="1"/>
    <col min="13826" max="13826" width="10.7109375" style="2" customWidth="1"/>
    <col min="13827" max="13827" width="15.28515625" style="2" customWidth="1"/>
    <col min="13828" max="13828" width="16.7109375" style="2" customWidth="1"/>
    <col min="13829" max="13839" width="11.42578125" style="2" hidden="1" customWidth="1"/>
    <col min="13840" max="13840" width="7.5703125" style="2" customWidth="1"/>
    <col min="13841" max="13841" width="11.42578125" style="2" hidden="1" customWidth="1"/>
    <col min="13842" max="13845" width="7.7109375" style="2" customWidth="1"/>
    <col min="13846" max="14070" width="11.42578125" style="2"/>
    <col min="14071" max="14073" width="3.85546875" style="2" customWidth="1"/>
    <col min="14074" max="14074" width="5.5703125" style="2" customWidth="1"/>
    <col min="14075" max="14075" width="11.42578125" style="2" hidden="1" customWidth="1"/>
    <col min="14076" max="14076" width="7.42578125" style="2" customWidth="1"/>
    <col min="14077" max="14077" width="12.5703125" style="2" customWidth="1"/>
    <col min="14078" max="14078" width="14.28515625" style="2" customWidth="1"/>
    <col min="14079" max="14079" width="11.7109375" style="2" customWidth="1"/>
    <col min="14080" max="14080" width="9.7109375" style="2" customWidth="1"/>
    <col min="14081" max="14081" width="9" style="2" customWidth="1"/>
    <col min="14082" max="14082" width="10.7109375" style="2" customWidth="1"/>
    <col min="14083" max="14083" width="15.28515625" style="2" customWidth="1"/>
    <col min="14084" max="14084" width="16.7109375" style="2" customWidth="1"/>
    <col min="14085" max="14095" width="11.42578125" style="2" hidden="1" customWidth="1"/>
    <col min="14096" max="14096" width="7.5703125" style="2" customWidth="1"/>
    <col min="14097" max="14097" width="11.42578125" style="2" hidden="1" customWidth="1"/>
    <col min="14098" max="14101" width="7.7109375" style="2" customWidth="1"/>
    <col min="14102" max="14326" width="11.42578125" style="2"/>
    <col min="14327" max="14329" width="3.85546875" style="2" customWidth="1"/>
    <col min="14330" max="14330" width="5.5703125" style="2" customWidth="1"/>
    <col min="14331" max="14331" width="11.42578125" style="2" hidden="1" customWidth="1"/>
    <col min="14332" max="14332" width="7.42578125" style="2" customWidth="1"/>
    <col min="14333" max="14333" width="12.5703125" style="2" customWidth="1"/>
    <col min="14334" max="14334" width="14.28515625" style="2" customWidth="1"/>
    <col min="14335" max="14335" width="11.7109375" style="2" customWidth="1"/>
    <col min="14336" max="14336" width="9.7109375" style="2" customWidth="1"/>
    <col min="14337" max="14337" width="9" style="2" customWidth="1"/>
    <col min="14338" max="14338" width="10.7109375" style="2" customWidth="1"/>
    <col min="14339" max="14339" width="15.28515625" style="2" customWidth="1"/>
    <col min="14340" max="14340" width="16.7109375" style="2" customWidth="1"/>
    <col min="14341" max="14351" width="11.42578125" style="2" hidden="1" customWidth="1"/>
    <col min="14352" max="14352" width="7.5703125" style="2" customWidth="1"/>
    <col min="14353" max="14353" width="11.42578125" style="2" hidden="1" customWidth="1"/>
    <col min="14354" max="14357" width="7.7109375" style="2" customWidth="1"/>
    <col min="14358" max="14582" width="11.42578125" style="2"/>
    <col min="14583" max="14585" width="3.85546875" style="2" customWidth="1"/>
    <col min="14586" max="14586" width="5.5703125" style="2" customWidth="1"/>
    <col min="14587" max="14587" width="11.42578125" style="2" hidden="1" customWidth="1"/>
    <col min="14588" max="14588" width="7.42578125" style="2" customWidth="1"/>
    <col min="14589" max="14589" width="12.5703125" style="2" customWidth="1"/>
    <col min="14590" max="14590" width="14.28515625" style="2" customWidth="1"/>
    <col min="14591" max="14591" width="11.7109375" style="2" customWidth="1"/>
    <col min="14592" max="14592" width="9.7109375" style="2" customWidth="1"/>
    <col min="14593" max="14593" width="9" style="2" customWidth="1"/>
    <col min="14594" max="14594" width="10.7109375" style="2" customWidth="1"/>
    <col min="14595" max="14595" width="15.28515625" style="2" customWidth="1"/>
    <col min="14596" max="14596" width="16.7109375" style="2" customWidth="1"/>
    <col min="14597" max="14607" width="11.42578125" style="2" hidden="1" customWidth="1"/>
    <col min="14608" max="14608" width="7.5703125" style="2" customWidth="1"/>
    <col min="14609" max="14609" width="11.42578125" style="2" hidden="1" customWidth="1"/>
    <col min="14610" max="14613" width="7.7109375" style="2" customWidth="1"/>
    <col min="14614" max="14838" width="11.42578125" style="2"/>
    <col min="14839" max="14841" width="3.85546875" style="2" customWidth="1"/>
    <col min="14842" max="14842" width="5.5703125" style="2" customWidth="1"/>
    <col min="14843" max="14843" width="11.42578125" style="2" hidden="1" customWidth="1"/>
    <col min="14844" max="14844" width="7.42578125" style="2" customWidth="1"/>
    <col min="14845" max="14845" width="12.5703125" style="2" customWidth="1"/>
    <col min="14846" max="14846" width="14.28515625" style="2" customWidth="1"/>
    <col min="14847" max="14847" width="11.7109375" style="2" customWidth="1"/>
    <col min="14848" max="14848" width="9.7109375" style="2" customWidth="1"/>
    <col min="14849" max="14849" width="9" style="2" customWidth="1"/>
    <col min="14850" max="14850" width="10.7109375" style="2" customWidth="1"/>
    <col min="14851" max="14851" width="15.28515625" style="2" customWidth="1"/>
    <col min="14852" max="14852" width="16.7109375" style="2" customWidth="1"/>
    <col min="14853" max="14863" width="11.42578125" style="2" hidden="1" customWidth="1"/>
    <col min="14864" max="14864" width="7.5703125" style="2" customWidth="1"/>
    <col min="14865" max="14865" width="11.42578125" style="2" hidden="1" customWidth="1"/>
    <col min="14866" max="14869" width="7.7109375" style="2" customWidth="1"/>
    <col min="14870" max="15094" width="11.42578125" style="2"/>
    <col min="15095" max="15097" width="3.85546875" style="2" customWidth="1"/>
    <col min="15098" max="15098" width="5.5703125" style="2" customWidth="1"/>
    <col min="15099" max="15099" width="11.42578125" style="2" hidden="1" customWidth="1"/>
    <col min="15100" max="15100" width="7.42578125" style="2" customWidth="1"/>
    <col min="15101" max="15101" width="12.5703125" style="2" customWidth="1"/>
    <col min="15102" max="15102" width="14.28515625" style="2" customWidth="1"/>
    <col min="15103" max="15103" width="11.7109375" style="2" customWidth="1"/>
    <col min="15104" max="15104" width="9.7109375" style="2" customWidth="1"/>
    <col min="15105" max="15105" width="9" style="2" customWidth="1"/>
    <col min="15106" max="15106" width="10.7109375" style="2" customWidth="1"/>
    <col min="15107" max="15107" width="15.28515625" style="2" customWidth="1"/>
    <col min="15108" max="15108" width="16.7109375" style="2" customWidth="1"/>
    <col min="15109" max="15119" width="11.42578125" style="2" hidden="1" customWidth="1"/>
    <col min="15120" max="15120" width="7.5703125" style="2" customWidth="1"/>
    <col min="15121" max="15121" width="11.42578125" style="2" hidden="1" customWidth="1"/>
    <col min="15122" max="15125" width="7.7109375" style="2" customWidth="1"/>
    <col min="15126" max="15350" width="11.42578125" style="2"/>
    <col min="15351" max="15353" width="3.85546875" style="2" customWidth="1"/>
    <col min="15354" max="15354" width="5.5703125" style="2" customWidth="1"/>
    <col min="15355" max="15355" width="11.42578125" style="2" hidden="1" customWidth="1"/>
    <col min="15356" max="15356" width="7.42578125" style="2" customWidth="1"/>
    <col min="15357" max="15357" width="12.5703125" style="2" customWidth="1"/>
    <col min="15358" max="15358" width="14.28515625" style="2" customWidth="1"/>
    <col min="15359" max="15359" width="11.7109375" style="2" customWidth="1"/>
    <col min="15360" max="15360" width="9.7109375" style="2" customWidth="1"/>
    <col min="15361" max="15361" width="9" style="2" customWidth="1"/>
    <col min="15362" max="15362" width="10.7109375" style="2" customWidth="1"/>
    <col min="15363" max="15363" width="15.28515625" style="2" customWidth="1"/>
    <col min="15364" max="15364" width="16.7109375" style="2" customWidth="1"/>
    <col min="15365" max="15375" width="11.42578125" style="2" hidden="1" customWidth="1"/>
    <col min="15376" max="15376" width="7.5703125" style="2" customWidth="1"/>
    <col min="15377" max="15377" width="11.42578125" style="2" hidden="1" customWidth="1"/>
    <col min="15378" max="15381" width="7.7109375" style="2" customWidth="1"/>
    <col min="15382" max="15606" width="11.42578125" style="2"/>
    <col min="15607" max="15609" width="3.85546875" style="2" customWidth="1"/>
    <col min="15610" max="15610" width="5.5703125" style="2" customWidth="1"/>
    <col min="15611" max="15611" width="11.42578125" style="2" hidden="1" customWidth="1"/>
    <col min="15612" max="15612" width="7.42578125" style="2" customWidth="1"/>
    <col min="15613" max="15613" width="12.5703125" style="2" customWidth="1"/>
    <col min="15614" max="15614" width="14.28515625" style="2" customWidth="1"/>
    <col min="15615" max="15615" width="11.7109375" style="2" customWidth="1"/>
    <col min="15616" max="15616" width="9.7109375" style="2" customWidth="1"/>
    <col min="15617" max="15617" width="9" style="2" customWidth="1"/>
    <col min="15618" max="15618" width="10.7109375" style="2" customWidth="1"/>
    <col min="15619" max="15619" width="15.28515625" style="2" customWidth="1"/>
    <col min="15620" max="15620" width="16.7109375" style="2" customWidth="1"/>
    <col min="15621" max="15631" width="11.42578125" style="2" hidden="1" customWidth="1"/>
    <col min="15632" max="15632" width="7.5703125" style="2" customWidth="1"/>
    <col min="15633" max="15633" width="11.42578125" style="2" hidden="1" customWidth="1"/>
    <col min="15634" max="15637" width="7.7109375" style="2" customWidth="1"/>
    <col min="15638" max="15862" width="11.42578125" style="2"/>
    <col min="15863" max="15865" width="3.85546875" style="2" customWidth="1"/>
    <col min="15866" max="15866" width="5.5703125" style="2" customWidth="1"/>
    <col min="15867" max="15867" width="11.42578125" style="2" hidden="1" customWidth="1"/>
    <col min="15868" max="15868" width="7.42578125" style="2" customWidth="1"/>
    <col min="15869" max="15869" width="12.5703125" style="2" customWidth="1"/>
    <col min="15870" max="15870" width="14.28515625" style="2" customWidth="1"/>
    <col min="15871" max="15871" width="11.7109375" style="2" customWidth="1"/>
    <col min="15872" max="15872" width="9.7109375" style="2" customWidth="1"/>
    <col min="15873" max="15873" width="9" style="2" customWidth="1"/>
    <col min="15874" max="15874" width="10.7109375" style="2" customWidth="1"/>
    <col min="15875" max="15875" width="15.28515625" style="2" customWidth="1"/>
    <col min="15876" max="15876" width="16.7109375" style="2" customWidth="1"/>
    <col min="15877" max="15887" width="11.42578125" style="2" hidden="1" customWidth="1"/>
    <col min="15888" max="15888" width="7.5703125" style="2" customWidth="1"/>
    <col min="15889" max="15889" width="11.42578125" style="2" hidden="1" customWidth="1"/>
    <col min="15890" max="15893" width="7.7109375" style="2" customWidth="1"/>
    <col min="15894" max="16118" width="11.42578125" style="2"/>
    <col min="16119" max="16121" width="3.85546875" style="2" customWidth="1"/>
    <col min="16122" max="16122" width="5.5703125" style="2" customWidth="1"/>
    <col min="16123" max="16123" width="11.42578125" style="2" hidden="1" customWidth="1"/>
    <col min="16124" max="16124" width="7.42578125" style="2" customWidth="1"/>
    <col min="16125" max="16125" width="12.5703125" style="2" customWidth="1"/>
    <col min="16126" max="16126" width="14.28515625" style="2" customWidth="1"/>
    <col min="16127" max="16127" width="11.7109375" style="2" customWidth="1"/>
    <col min="16128" max="16128" width="9.7109375" style="2" customWidth="1"/>
    <col min="16129" max="16129" width="9" style="2" customWidth="1"/>
    <col min="16130" max="16130" width="10.7109375" style="2" customWidth="1"/>
    <col min="16131" max="16131" width="15.28515625" style="2" customWidth="1"/>
    <col min="16132" max="16132" width="16.7109375" style="2" customWidth="1"/>
    <col min="16133" max="16143" width="11.42578125" style="2" hidden="1" customWidth="1"/>
    <col min="16144" max="16144" width="7.5703125" style="2" customWidth="1"/>
    <col min="16145" max="16145" width="11.42578125" style="2" hidden="1" customWidth="1"/>
    <col min="16146" max="16149" width="7.7109375" style="2" customWidth="1"/>
    <col min="16150" max="16384" width="11.42578125" style="2"/>
  </cols>
  <sheetData>
    <row r="2" spans="2:23">
      <c r="B2" s="3" t="s">
        <v>0</v>
      </c>
    </row>
    <row r="4" spans="2:23" ht="20.25">
      <c r="B4" s="200" t="s">
        <v>1</v>
      </c>
      <c r="C4" s="200"/>
      <c r="D4" s="200"/>
      <c r="E4" s="319"/>
      <c r="F4" s="200"/>
      <c r="G4" s="200"/>
      <c r="H4" s="200"/>
      <c r="I4" s="200"/>
      <c r="J4" s="200"/>
      <c r="K4" s="200"/>
      <c r="L4" s="200"/>
      <c r="M4" s="200"/>
      <c r="N4" s="200"/>
      <c r="O4" s="200"/>
      <c r="P4" s="200"/>
      <c r="Q4" s="200"/>
      <c r="R4" s="200"/>
      <c r="S4" s="200"/>
      <c r="T4" s="200"/>
      <c r="U4" s="200"/>
    </row>
    <row r="5" spans="2:23" ht="20.25">
      <c r="B5" s="200"/>
      <c r="C5" s="200"/>
      <c r="D5" s="200"/>
      <c r="E5" s="319"/>
      <c r="F5" s="200"/>
      <c r="G5" s="200"/>
      <c r="H5" s="200"/>
      <c r="I5" s="200"/>
      <c r="J5" s="200"/>
      <c r="K5" s="200"/>
      <c r="L5" s="200"/>
      <c r="M5" s="200"/>
      <c r="N5" s="200"/>
      <c r="O5" s="200"/>
      <c r="P5" s="200"/>
      <c r="Q5" s="200"/>
      <c r="R5" s="200"/>
      <c r="S5" s="200"/>
      <c r="T5" s="200"/>
      <c r="U5" s="200"/>
    </row>
    <row r="6" spans="2:23">
      <c r="B6" s="125" t="s">
        <v>2</v>
      </c>
      <c r="C6" s="126"/>
      <c r="D6" s="350">
        <v>2026</v>
      </c>
      <c r="E6" s="320"/>
      <c r="F6" s="127"/>
    </row>
    <row r="7" spans="2:23">
      <c r="B7" s="125" t="s">
        <v>3</v>
      </c>
      <c r="C7" s="126"/>
      <c r="D7" s="353" t="s">
        <v>397</v>
      </c>
      <c r="E7" s="351"/>
      <c r="F7" s="127"/>
    </row>
    <row r="8" spans="2:23" ht="13.5" customHeight="1"/>
    <row r="9" spans="2:23" ht="36" customHeight="1">
      <c r="B9" s="399" t="s">
        <v>4</v>
      </c>
      <c r="C9" s="399"/>
      <c r="D9" s="399"/>
      <c r="E9" s="400" t="s">
        <v>5</v>
      </c>
      <c r="F9" s="401"/>
      <c r="G9" s="400" t="s">
        <v>6</v>
      </c>
      <c r="H9" s="402"/>
      <c r="I9" s="402"/>
      <c r="J9" s="402"/>
      <c r="K9" s="402"/>
      <c r="L9" s="401"/>
      <c r="M9" s="400" t="s">
        <v>7</v>
      </c>
      <c r="N9" s="402"/>
      <c r="O9" s="402"/>
      <c r="P9" s="402"/>
      <c r="Q9" s="402"/>
      <c r="R9" s="402"/>
      <c r="S9" s="402"/>
      <c r="T9" s="402"/>
      <c r="U9" s="401"/>
    </row>
    <row r="10" spans="2:23">
      <c r="B10" s="406" t="s">
        <v>8</v>
      </c>
      <c r="C10" s="410" t="s">
        <v>9</v>
      </c>
      <c r="D10" s="410" t="s">
        <v>10</v>
      </c>
      <c r="E10" s="410" t="s">
        <v>11</v>
      </c>
      <c r="F10" s="406" t="s">
        <v>12</v>
      </c>
      <c r="G10" s="406" t="s">
        <v>13</v>
      </c>
      <c r="H10" s="406" t="s">
        <v>14</v>
      </c>
      <c r="I10" s="406" t="s">
        <v>15</v>
      </c>
      <c r="J10" s="406" t="s">
        <v>16</v>
      </c>
      <c r="K10" s="406" t="s">
        <v>17</v>
      </c>
      <c r="L10" s="406" t="s">
        <v>18</v>
      </c>
      <c r="M10" s="325">
        <v>2024</v>
      </c>
      <c r="N10" s="406" t="s">
        <v>19</v>
      </c>
      <c r="O10" s="325">
        <v>2025</v>
      </c>
      <c r="P10" s="406" t="s">
        <v>20</v>
      </c>
      <c r="Q10" s="325">
        <v>2026</v>
      </c>
      <c r="R10" s="325">
        <v>2027</v>
      </c>
      <c r="S10" s="325">
        <v>2028</v>
      </c>
      <c r="T10" s="325">
        <v>2029</v>
      </c>
      <c r="U10" s="325">
        <v>2030</v>
      </c>
    </row>
    <row r="11" spans="2:23" ht="30" customHeight="1">
      <c r="B11" s="407"/>
      <c r="C11" s="411"/>
      <c r="D11" s="411"/>
      <c r="E11" s="411"/>
      <c r="F11" s="407"/>
      <c r="G11" s="407"/>
      <c r="H11" s="407"/>
      <c r="I11" s="407"/>
      <c r="J11" s="407"/>
      <c r="K11" s="407"/>
      <c r="L11" s="407"/>
      <c r="M11" s="326" t="s">
        <v>21</v>
      </c>
      <c r="N11" s="407"/>
      <c r="O11" s="325" t="s">
        <v>21</v>
      </c>
      <c r="P11" s="407"/>
      <c r="Q11" s="326" t="s">
        <v>21</v>
      </c>
      <c r="R11" s="326" t="s">
        <v>21</v>
      </c>
      <c r="S11" s="326" t="s">
        <v>21</v>
      </c>
      <c r="T11" s="326" t="s">
        <v>21</v>
      </c>
      <c r="U11" s="325" t="s">
        <v>21</v>
      </c>
    </row>
    <row r="12" spans="2:23" s="8" customFormat="1" ht="63.75">
      <c r="B12" s="408">
        <v>7</v>
      </c>
      <c r="C12" s="305">
        <v>1</v>
      </c>
      <c r="D12" s="305">
        <v>7</v>
      </c>
      <c r="E12" s="301" t="s">
        <v>22</v>
      </c>
      <c r="F12" s="301" t="s">
        <v>23</v>
      </c>
      <c r="G12" s="301" t="s">
        <v>24</v>
      </c>
      <c r="H12" s="299" t="s">
        <v>25</v>
      </c>
      <c r="I12" s="299" t="s">
        <v>26</v>
      </c>
      <c r="J12" s="327">
        <v>0</v>
      </c>
      <c r="K12" s="327">
        <v>0</v>
      </c>
      <c r="L12" s="327">
        <v>1</v>
      </c>
      <c r="M12" s="328">
        <v>0.2</v>
      </c>
      <c r="N12" s="328">
        <v>0.18</v>
      </c>
      <c r="O12" s="329">
        <v>0.2</v>
      </c>
      <c r="P12" s="330">
        <v>0.18</v>
      </c>
      <c r="Q12" s="339">
        <v>0.15</v>
      </c>
      <c r="R12" s="340">
        <v>1E-4</v>
      </c>
      <c r="S12" s="340">
        <v>1E-4</v>
      </c>
      <c r="T12" s="340">
        <v>1E-4</v>
      </c>
      <c r="U12" s="313">
        <v>1E-4</v>
      </c>
      <c r="V12" s="341"/>
      <c r="W12" s="341"/>
    </row>
    <row r="13" spans="2:23" s="176" customFormat="1" ht="44.1" customHeight="1">
      <c r="B13" s="408"/>
      <c r="C13" s="412">
        <v>5</v>
      </c>
      <c r="D13" s="408">
        <v>1</v>
      </c>
      <c r="E13" s="301" t="s">
        <v>27</v>
      </c>
      <c r="F13" s="301" t="s">
        <v>28</v>
      </c>
      <c r="G13" s="301" t="s">
        <v>29</v>
      </c>
      <c r="H13" s="299" t="s">
        <v>25</v>
      </c>
      <c r="I13" s="299" t="s">
        <v>30</v>
      </c>
      <c r="J13" s="331">
        <v>0</v>
      </c>
      <c r="K13" s="331">
        <v>0</v>
      </c>
      <c r="L13" s="332">
        <v>1</v>
      </c>
      <c r="M13" s="328">
        <v>0.33</v>
      </c>
      <c r="N13" s="332">
        <v>0.27</v>
      </c>
      <c r="O13" s="333">
        <v>0.33</v>
      </c>
      <c r="P13" s="311">
        <v>0.28000000000000003</v>
      </c>
      <c r="Q13" s="339">
        <v>0.25</v>
      </c>
      <c r="R13" s="342">
        <v>5.0000000000000001E-4</v>
      </c>
      <c r="S13" s="342">
        <v>5.0000000000000001E-4</v>
      </c>
      <c r="T13" s="342">
        <v>5.0000000000000001E-4</v>
      </c>
      <c r="U13" s="314">
        <v>5.0000000000000001E-4</v>
      </c>
      <c r="V13" s="343"/>
      <c r="W13" s="344"/>
    </row>
    <row r="14" spans="2:23" s="8" customFormat="1" ht="76.5">
      <c r="B14" s="408"/>
      <c r="C14" s="408"/>
      <c r="D14" s="408"/>
      <c r="E14" s="301" t="s">
        <v>31</v>
      </c>
      <c r="F14" s="301" t="s">
        <v>32</v>
      </c>
      <c r="G14" s="301" t="s">
        <v>33</v>
      </c>
      <c r="H14" s="299" t="s">
        <v>25</v>
      </c>
      <c r="I14" s="299" t="s">
        <v>34</v>
      </c>
      <c r="J14" s="327">
        <v>0.01</v>
      </c>
      <c r="K14" s="327">
        <v>0.01</v>
      </c>
      <c r="L14" s="327">
        <v>0.21</v>
      </c>
      <c r="M14" s="328">
        <v>7.0000000000000007E-2</v>
      </c>
      <c r="N14" s="328">
        <v>3.1399999999999997E-2</v>
      </c>
      <c r="O14" s="329">
        <v>7.0000000000000007E-2</v>
      </c>
      <c r="P14" s="311">
        <v>0.05</v>
      </c>
      <c r="Q14" s="339">
        <v>0.1</v>
      </c>
      <c r="R14" s="345">
        <v>1E-4</v>
      </c>
      <c r="S14" s="342">
        <v>1E-4</v>
      </c>
      <c r="T14" s="342">
        <v>1E-4</v>
      </c>
      <c r="U14" s="314">
        <v>1E-4</v>
      </c>
      <c r="V14" s="341"/>
      <c r="W14" s="341"/>
    </row>
    <row r="15" spans="2:23" s="176" customFormat="1" ht="51">
      <c r="B15" s="409"/>
      <c r="C15" s="409"/>
      <c r="D15" s="409"/>
      <c r="E15" s="301" t="s">
        <v>35</v>
      </c>
      <c r="F15" s="301" t="s">
        <v>36</v>
      </c>
      <c r="G15" s="301" t="s">
        <v>37</v>
      </c>
      <c r="H15" s="299" t="s">
        <v>38</v>
      </c>
      <c r="I15" s="299" t="s">
        <v>39</v>
      </c>
      <c r="J15" s="334">
        <v>0</v>
      </c>
      <c r="K15" s="334">
        <v>0</v>
      </c>
      <c r="L15" s="335">
        <v>10</v>
      </c>
      <c r="M15" s="335">
        <v>8</v>
      </c>
      <c r="N15" s="336">
        <v>8</v>
      </c>
      <c r="O15" s="337">
        <v>10</v>
      </c>
      <c r="P15" s="338">
        <v>10</v>
      </c>
      <c r="Q15" s="346">
        <v>10</v>
      </c>
      <c r="R15" s="347">
        <v>0.1</v>
      </c>
      <c r="S15" s="347">
        <v>0.1</v>
      </c>
      <c r="T15" s="347">
        <v>0.1</v>
      </c>
      <c r="U15" s="348">
        <v>0.1</v>
      </c>
      <c r="V15" s="349"/>
      <c r="W15" s="8"/>
    </row>
    <row r="16" spans="2:23" s="176" customFormat="1" ht="13.5" hidden="1">
      <c r="B16" s="305"/>
      <c r="C16" s="305"/>
      <c r="D16" s="305"/>
      <c r="E16" s="321"/>
      <c r="F16" s="238"/>
      <c r="G16" s="238"/>
      <c r="H16" s="238"/>
      <c r="I16" s="238"/>
      <c r="J16" s="238"/>
      <c r="K16" s="238"/>
      <c r="L16" s="238"/>
      <c r="M16" s="238"/>
      <c r="N16" s="238"/>
    </row>
    <row r="17" spans="2:21" s="176" customFormat="1" ht="13.5" hidden="1">
      <c r="B17" s="306"/>
      <c r="C17" s="306"/>
      <c r="D17" s="306"/>
      <c r="E17" s="322"/>
      <c r="F17" s="175"/>
      <c r="G17" s="175"/>
      <c r="H17" s="175"/>
      <c r="I17" s="175"/>
      <c r="J17" s="175"/>
      <c r="K17" s="175"/>
      <c r="L17" s="175"/>
      <c r="M17" s="175"/>
      <c r="N17" s="175"/>
    </row>
    <row r="18" spans="2:21" s="176" customFormat="1" ht="13.5" hidden="1">
      <c r="B18" s="306"/>
      <c r="C18" s="306"/>
      <c r="D18" s="306"/>
      <c r="E18" s="322"/>
      <c r="F18" s="175"/>
      <c r="G18" s="175"/>
      <c r="H18" s="175"/>
      <c r="I18" s="175"/>
      <c r="J18" s="175"/>
      <c r="K18" s="175"/>
      <c r="L18" s="175"/>
      <c r="M18" s="175"/>
      <c r="N18" s="175"/>
    </row>
    <row r="19" spans="2:21" s="176" customFormat="1" ht="13.5" hidden="1">
      <c r="B19" s="306"/>
      <c r="C19" s="306"/>
      <c r="D19" s="306"/>
      <c r="E19" s="322"/>
      <c r="F19" s="175"/>
      <c r="G19" s="175"/>
      <c r="H19" s="175"/>
      <c r="I19" s="175"/>
      <c r="J19" s="175"/>
      <c r="K19" s="175"/>
      <c r="L19" s="175"/>
      <c r="M19" s="175"/>
      <c r="N19" s="175"/>
    </row>
    <row r="20" spans="2:21">
      <c r="B20" s="176"/>
      <c r="C20" s="176"/>
      <c r="D20" s="176"/>
      <c r="E20" s="323"/>
      <c r="F20" s="176"/>
      <c r="G20" s="176"/>
      <c r="H20" s="176"/>
      <c r="I20" s="176"/>
      <c r="J20" s="176"/>
      <c r="K20" s="176"/>
      <c r="L20" s="176"/>
      <c r="M20" s="176"/>
      <c r="N20" s="176"/>
      <c r="O20" s="176"/>
      <c r="P20" s="176"/>
      <c r="Q20" s="176"/>
      <c r="R20" s="176"/>
      <c r="S20" s="176"/>
      <c r="T20" s="176"/>
      <c r="U20" s="176"/>
    </row>
    <row r="21" spans="2:21">
      <c r="B21" s="307"/>
      <c r="C21" s="176"/>
      <c r="D21" s="176"/>
      <c r="E21" s="323"/>
      <c r="F21" s="176"/>
      <c r="G21" s="176"/>
      <c r="H21" s="176"/>
      <c r="I21" s="176"/>
      <c r="J21" s="176"/>
      <c r="K21" s="176"/>
      <c r="L21" s="176"/>
      <c r="M21" s="176"/>
      <c r="N21" s="176"/>
      <c r="O21" s="176"/>
      <c r="P21" s="176"/>
      <c r="Q21" s="176"/>
      <c r="R21" s="176"/>
      <c r="S21" s="176"/>
      <c r="T21" s="176"/>
      <c r="U21" s="176"/>
    </row>
    <row r="22" spans="2:21">
      <c r="B22" s="403" t="s">
        <v>40</v>
      </c>
      <c r="C22" s="404"/>
      <c r="D22" s="404"/>
      <c r="E22" s="404"/>
      <c r="F22" s="405"/>
      <c r="G22" s="178" t="s">
        <v>41</v>
      </c>
      <c r="H22" s="177"/>
      <c r="I22" s="177"/>
      <c r="J22" s="177"/>
      <c r="K22" s="177"/>
      <c r="L22" s="177"/>
      <c r="M22" s="177"/>
      <c r="N22" s="177"/>
      <c r="O22" s="177"/>
      <c r="P22" s="12"/>
      <c r="Q22" s="177" t="s">
        <v>42</v>
      </c>
      <c r="R22" s="177"/>
      <c r="S22" s="177"/>
      <c r="T22" s="177"/>
      <c r="U22" s="184"/>
    </row>
    <row r="23" spans="2:21" ht="57.95" customHeight="1">
      <c r="B23" s="413" t="s">
        <v>43</v>
      </c>
      <c r="C23" s="414"/>
      <c r="D23" s="414"/>
      <c r="E23" s="414"/>
      <c r="F23" s="415"/>
      <c r="G23" s="217"/>
      <c r="H23" s="218"/>
      <c r="I23" s="218"/>
      <c r="J23" s="218"/>
      <c r="K23" s="218"/>
      <c r="L23" s="218"/>
      <c r="M23" s="218"/>
      <c r="N23" s="218"/>
      <c r="O23" s="218"/>
      <c r="P23" s="219"/>
      <c r="Q23" s="217"/>
      <c r="R23" s="218"/>
      <c r="S23" s="218"/>
      <c r="T23" s="218"/>
      <c r="U23" s="219"/>
    </row>
    <row r="24" spans="2:21" ht="48.95" customHeight="1">
      <c r="B24" s="413" t="s">
        <v>44</v>
      </c>
      <c r="C24" s="414"/>
      <c r="D24" s="414"/>
      <c r="E24" s="414"/>
      <c r="F24" s="415"/>
      <c r="G24" s="217"/>
      <c r="H24" s="218"/>
      <c r="I24" s="218"/>
      <c r="J24" s="218"/>
      <c r="K24" s="218"/>
      <c r="L24" s="218"/>
      <c r="M24" s="218"/>
      <c r="N24" s="218"/>
      <c r="O24" s="218"/>
      <c r="P24" s="219"/>
      <c r="Q24" s="217"/>
      <c r="R24" s="218"/>
      <c r="S24" s="218"/>
      <c r="T24" s="218"/>
      <c r="U24" s="219"/>
    </row>
    <row r="25" spans="2:21" ht="54.95" customHeight="1">
      <c r="B25" s="413" t="s">
        <v>45</v>
      </c>
      <c r="C25" s="414"/>
      <c r="D25" s="414"/>
      <c r="E25" s="414"/>
      <c r="F25" s="415"/>
      <c r="G25" s="217"/>
      <c r="H25" s="218"/>
      <c r="I25" s="218"/>
      <c r="J25" s="218"/>
      <c r="K25" s="218"/>
      <c r="L25" s="218"/>
      <c r="M25" s="218"/>
      <c r="N25" s="218"/>
      <c r="O25" s="218"/>
      <c r="P25" s="219"/>
      <c r="Q25" s="217"/>
      <c r="R25" s="218"/>
      <c r="S25" s="218"/>
      <c r="T25" s="218"/>
      <c r="U25" s="219"/>
    </row>
    <row r="26" spans="2:21" ht="57" customHeight="1">
      <c r="B26" s="413" t="s">
        <v>46</v>
      </c>
      <c r="C26" s="414"/>
      <c r="D26" s="414"/>
      <c r="E26" s="414"/>
      <c r="F26" s="415"/>
      <c r="G26" s="217"/>
      <c r="H26" s="218"/>
      <c r="I26" s="218"/>
      <c r="J26" s="218"/>
      <c r="K26" s="218"/>
      <c r="L26" s="218"/>
      <c r="M26" s="218"/>
      <c r="N26" s="218"/>
      <c r="O26" s="218"/>
      <c r="P26" s="219"/>
      <c r="Q26" s="217"/>
      <c r="R26" s="218"/>
      <c r="S26" s="218"/>
      <c r="T26" s="218"/>
      <c r="U26" s="219"/>
    </row>
    <row r="27" spans="2:21" ht="14.25" customHeight="1">
      <c r="B27" s="308"/>
      <c r="C27" s="308"/>
      <c r="D27" s="308"/>
      <c r="E27" s="323"/>
      <c r="F27" s="308"/>
      <c r="G27" s="308"/>
      <c r="H27" s="309"/>
      <c r="I27" s="309"/>
      <c r="J27" s="309"/>
      <c r="K27" s="309"/>
      <c r="L27" s="309"/>
      <c r="M27" s="309"/>
      <c r="N27" s="223" t="s">
        <v>47</v>
      </c>
      <c r="O27" s="309"/>
      <c r="P27" s="309"/>
      <c r="Q27" s="309"/>
      <c r="R27" s="309"/>
      <c r="S27" s="309"/>
      <c r="T27" s="309"/>
      <c r="U27" s="309"/>
    </row>
    <row r="28" spans="2:21" ht="42" customHeight="1">
      <c r="B28" s="416" t="s">
        <v>48</v>
      </c>
      <c r="C28" s="416"/>
      <c r="D28" s="416"/>
      <c r="E28" s="416"/>
      <c r="F28" s="416"/>
      <c r="G28" s="416"/>
      <c r="N28" s="223"/>
    </row>
    <row r="29" spans="2:21" ht="41.25" customHeight="1">
      <c r="B29" s="234"/>
      <c r="C29" s="234"/>
      <c r="D29" s="234"/>
      <c r="E29" s="324"/>
      <c r="F29" s="234"/>
      <c r="G29" s="234"/>
    </row>
  </sheetData>
  <mergeCells count="26">
    <mergeCell ref="J10:J11"/>
    <mergeCell ref="K10:K11"/>
    <mergeCell ref="L10:L11"/>
    <mergeCell ref="N10:N11"/>
    <mergeCell ref="P10:P11"/>
    <mergeCell ref="B23:F23"/>
    <mergeCell ref="B24:F24"/>
    <mergeCell ref="B25:F25"/>
    <mergeCell ref="B26:F26"/>
    <mergeCell ref="B28:G28"/>
    <mergeCell ref="B9:D9"/>
    <mergeCell ref="E9:F9"/>
    <mergeCell ref="G9:L9"/>
    <mergeCell ref="M9:U9"/>
    <mergeCell ref="B22:F22"/>
    <mergeCell ref="B10:B11"/>
    <mergeCell ref="B12:B15"/>
    <mergeCell ref="C10:C11"/>
    <mergeCell ref="C13:C15"/>
    <mergeCell ref="D10:D11"/>
    <mergeCell ref="D13:D15"/>
    <mergeCell ref="E10:E11"/>
    <mergeCell ref="F10:F11"/>
    <mergeCell ref="G10:G11"/>
    <mergeCell ref="H10:H11"/>
    <mergeCell ref="I10:I11"/>
  </mergeCells>
  <printOptions horizontalCentered="1"/>
  <pageMargins left="0.3" right="0.52" top="0.74803149606299202" bottom="0.74803149606299202" header="0.31496062992126" footer="0.31496062992126"/>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499984740745262"/>
    <pageSetUpPr fitToPage="1"/>
  </sheetPr>
  <dimension ref="B2:WVU30"/>
  <sheetViews>
    <sheetView showGridLines="0" topLeftCell="A11" workbookViewId="0">
      <selection activeCell="G11" sqref="G11:G14"/>
    </sheetView>
  </sheetViews>
  <sheetFormatPr baseColWidth="10" defaultColWidth="11.42578125" defaultRowHeight="15"/>
  <cols>
    <col min="1" max="1" width="3.85546875" customWidth="1"/>
    <col min="2" max="2" width="7.5703125" hidden="1" customWidth="1"/>
    <col min="3" max="3" width="23.140625" hidden="1" customWidth="1"/>
    <col min="4" max="4" width="22.7109375" hidden="1" customWidth="1"/>
    <col min="5" max="5" width="7.5703125" customWidth="1"/>
    <col min="6" max="6" width="31.7109375" customWidth="1"/>
    <col min="7" max="7" width="34.28515625" customWidth="1"/>
    <col min="8" max="8" width="24.85546875" customWidth="1"/>
    <col min="9" max="9" width="16.28515625" customWidth="1"/>
    <col min="10" max="10" width="28.140625" customWidth="1"/>
    <col min="11" max="12" width="16.28515625" hidden="1" customWidth="1"/>
    <col min="13" max="13" width="17" customWidth="1"/>
    <col min="14" max="17" width="11.85546875" customWidth="1"/>
    <col min="243" max="245" width="3.85546875" customWidth="1"/>
    <col min="246" max="246" width="5.5703125" customWidth="1"/>
    <col min="247" max="247" width="11.42578125" hidden="1" customWidth="1"/>
    <col min="248" max="248" width="7.42578125" customWidth="1"/>
    <col min="249" max="249" width="12.5703125" customWidth="1"/>
    <col min="250" max="250" width="14.28515625" customWidth="1"/>
    <col min="251" max="251" width="11.7109375" customWidth="1"/>
    <col min="252" max="252" width="9.7109375" customWidth="1"/>
    <col min="253" max="253" width="9" customWidth="1"/>
    <col min="254" max="254" width="10.7109375" customWidth="1"/>
    <col min="255" max="255" width="15.28515625" customWidth="1"/>
    <col min="256" max="256" width="16.7109375" customWidth="1"/>
    <col min="257" max="267" width="11.42578125" hidden="1" customWidth="1"/>
    <col min="268" max="268" width="7.5703125" customWidth="1"/>
    <col min="269" max="269" width="11.42578125" hidden="1" customWidth="1"/>
    <col min="270" max="273" width="7.7109375" customWidth="1"/>
    <col min="499" max="501" width="3.85546875" customWidth="1"/>
    <col min="502" max="502" width="5.5703125" customWidth="1"/>
    <col min="503" max="503" width="11.42578125" hidden="1" customWidth="1"/>
    <col min="504" max="504" width="7.42578125" customWidth="1"/>
    <col min="505" max="505" width="12.5703125" customWidth="1"/>
    <col min="506" max="506" width="14.28515625" customWidth="1"/>
    <col min="507" max="507" width="11.7109375" customWidth="1"/>
    <col min="508" max="508" width="9.7109375" customWidth="1"/>
    <col min="509" max="509" width="9" customWidth="1"/>
    <col min="510" max="510" width="10.7109375" customWidth="1"/>
    <col min="511" max="511" width="15.28515625" customWidth="1"/>
    <col min="512" max="512" width="16.7109375" customWidth="1"/>
    <col min="513" max="523" width="11.42578125" hidden="1" customWidth="1"/>
    <col min="524" max="524" width="7.5703125" customWidth="1"/>
    <col min="525" max="525" width="11.42578125" hidden="1" customWidth="1"/>
    <col min="526" max="529" width="7.7109375" customWidth="1"/>
    <col min="755" max="757" width="3.85546875" customWidth="1"/>
    <col min="758" max="758" width="5.5703125" customWidth="1"/>
    <col min="759" max="759" width="11.42578125" hidden="1" customWidth="1"/>
    <col min="760" max="760" width="7.42578125" customWidth="1"/>
    <col min="761" max="761" width="12.5703125" customWidth="1"/>
    <col min="762" max="762" width="14.28515625" customWidth="1"/>
    <col min="763" max="763" width="11.7109375" customWidth="1"/>
    <col min="764" max="764" width="9.7109375" customWidth="1"/>
    <col min="765" max="765" width="9" customWidth="1"/>
    <col min="766" max="766" width="10.7109375" customWidth="1"/>
    <col min="767" max="767" width="15.28515625" customWidth="1"/>
    <col min="768" max="768" width="16.7109375" customWidth="1"/>
    <col min="769" max="779" width="11.42578125" hidden="1" customWidth="1"/>
    <col min="780" max="780" width="7.5703125" customWidth="1"/>
    <col min="781" max="781" width="11.42578125" hidden="1" customWidth="1"/>
    <col min="782" max="785" width="7.7109375" customWidth="1"/>
    <col min="1011" max="1013" width="3.85546875" customWidth="1"/>
    <col min="1014" max="1014" width="5.5703125" customWidth="1"/>
    <col min="1015" max="1015" width="11.42578125" hidden="1" customWidth="1"/>
    <col min="1016" max="1016" width="7.42578125" customWidth="1"/>
    <col min="1017" max="1017" width="12.5703125" customWidth="1"/>
    <col min="1018" max="1018" width="14.28515625" customWidth="1"/>
    <col min="1019" max="1019" width="11.7109375" customWidth="1"/>
    <col min="1020" max="1020" width="9.7109375" customWidth="1"/>
    <col min="1021" max="1021" width="9" customWidth="1"/>
    <col min="1022" max="1022" width="10.7109375" customWidth="1"/>
    <col min="1023" max="1023" width="15.28515625" customWidth="1"/>
    <col min="1024" max="1024" width="16.7109375" customWidth="1"/>
    <col min="1025" max="1035" width="11.42578125" hidden="1" customWidth="1"/>
    <col min="1036" max="1036" width="7.5703125" customWidth="1"/>
    <col min="1037" max="1037" width="11.42578125" hidden="1" customWidth="1"/>
    <col min="1038" max="1041" width="7.7109375" customWidth="1"/>
    <col min="1267" max="1269" width="3.85546875" customWidth="1"/>
    <col min="1270" max="1270" width="5.5703125" customWidth="1"/>
    <col min="1271" max="1271" width="11.42578125" hidden="1" customWidth="1"/>
    <col min="1272" max="1272" width="7.42578125" customWidth="1"/>
    <col min="1273" max="1273" width="12.5703125" customWidth="1"/>
    <col min="1274" max="1274" width="14.28515625" customWidth="1"/>
    <col min="1275" max="1275" width="11.7109375" customWidth="1"/>
    <col min="1276" max="1276" width="9.7109375" customWidth="1"/>
    <col min="1277" max="1277" width="9" customWidth="1"/>
    <col min="1278" max="1278" width="10.7109375" customWidth="1"/>
    <col min="1279" max="1279" width="15.28515625" customWidth="1"/>
    <col min="1280" max="1280" width="16.7109375" customWidth="1"/>
    <col min="1281" max="1291" width="11.42578125" hidden="1" customWidth="1"/>
    <col min="1292" max="1292" width="7.5703125" customWidth="1"/>
    <col min="1293" max="1293" width="11.42578125" hidden="1" customWidth="1"/>
    <col min="1294" max="1297" width="7.7109375" customWidth="1"/>
    <col min="1523" max="1525" width="3.85546875" customWidth="1"/>
    <col min="1526" max="1526" width="5.5703125" customWidth="1"/>
    <col min="1527" max="1527" width="11.42578125" hidden="1" customWidth="1"/>
    <col min="1528" max="1528" width="7.42578125" customWidth="1"/>
    <col min="1529" max="1529" width="12.5703125" customWidth="1"/>
    <col min="1530" max="1530" width="14.28515625" customWidth="1"/>
    <col min="1531" max="1531" width="11.7109375" customWidth="1"/>
    <col min="1532" max="1532" width="9.7109375" customWidth="1"/>
    <col min="1533" max="1533" width="9" customWidth="1"/>
    <col min="1534" max="1534" width="10.7109375" customWidth="1"/>
    <col min="1535" max="1535" width="15.28515625" customWidth="1"/>
    <col min="1536" max="1536" width="16.7109375" customWidth="1"/>
    <col min="1537" max="1547" width="11.42578125" hidden="1" customWidth="1"/>
    <col min="1548" max="1548" width="7.5703125" customWidth="1"/>
    <col min="1549" max="1549" width="11.42578125" hidden="1" customWidth="1"/>
    <col min="1550" max="1553" width="7.7109375" customWidth="1"/>
    <col min="1779" max="1781" width="3.85546875" customWidth="1"/>
    <col min="1782" max="1782" width="5.5703125" customWidth="1"/>
    <col min="1783" max="1783" width="11.42578125" hidden="1" customWidth="1"/>
    <col min="1784" max="1784" width="7.42578125" customWidth="1"/>
    <col min="1785" max="1785" width="12.5703125" customWidth="1"/>
    <col min="1786" max="1786" width="14.28515625" customWidth="1"/>
    <col min="1787" max="1787" width="11.7109375" customWidth="1"/>
    <col min="1788" max="1788" width="9.7109375" customWidth="1"/>
    <col min="1789" max="1789" width="9" customWidth="1"/>
    <col min="1790" max="1790" width="10.7109375" customWidth="1"/>
    <col min="1791" max="1791" width="15.28515625" customWidth="1"/>
    <col min="1792" max="1792" width="16.7109375" customWidth="1"/>
    <col min="1793" max="1803" width="11.42578125" hidden="1" customWidth="1"/>
    <col min="1804" max="1804" width="7.5703125" customWidth="1"/>
    <col min="1805" max="1805" width="11.42578125" hidden="1" customWidth="1"/>
    <col min="1806" max="1809" width="7.7109375" customWidth="1"/>
    <col min="2035" max="2037" width="3.85546875" customWidth="1"/>
    <col min="2038" max="2038" width="5.5703125" customWidth="1"/>
    <col min="2039" max="2039" width="11.42578125" hidden="1" customWidth="1"/>
    <col min="2040" max="2040" width="7.42578125" customWidth="1"/>
    <col min="2041" max="2041" width="12.5703125" customWidth="1"/>
    <col min="2042" max="2042" width="14.28515625" customWidth="1"/>
    <col min="2043" max="2043" width="11.7109375" customWidth="1"/>
    <col min="2044" max="2044" width="9.7109375" customWidth="1"/>
    <col min="2045" max="2045" width="9" customWidth="1"/>
    <col min="2046" max="2046" width="10.7109375" customWidth="1"/>
    <col min="2047" max="2047" width="15.28515625" customWidth="1"/>
    <col min="2048" max="2048" width="16.7109375" customWidth="1"/>
    <col min="2049" max="2059" width="11.42578125" hidden="1" customWidth="1"/>
    <col min="2060" max="2060" width="7.5703125" customWidth="1"/>
    <col min="2061" max="2061" width="11.42578125" hidden="1" customWidth="1"/>
    <col min="2062" max="2065" width="7.7109375" customWidth="1"/>
    <col min="2291" max="2293" width="3.85546875" customWidth="1"/>
    <col min="2294" max="2294" width="5.5703125" customWidth="1"/>
    <col min="2295" max="2295" width="11.42578125" hidden="1" customWidth="1"/>
    <col min="2296" max="2296" width="7.42578125" customWidth="1"/>
    <col min="2297" max="2297" width="12.5703125" customWidth="1"/>
    <col min="2298" max="2298" width="14.28515625" customWidth="1"/>
    <col min="2299" max="2299" width="11.7109375" customWidth="1"/>
    <col min="2300" max="2300" width="9.7109375" customWidth="1"/>
    <col min="2301" max="2301" width="9" customWidth="1"/>
    <col min="2302" max="2302" width="10.7109375" customWidth="1"/>
    <col min="2303" max="2303" width="15.28515625" customWidth="1"/>
    <col min="2304" max="2304" width="16.7109375" customWidth="1"/>
    <col min="2305" max="2315" width="11.42578125" hidden="1" customWidth="1"/>
    <col min="2316" max="2316" width="7.5703125" customWidth="1"/>
    <col min="2317" max="2317" width="11.42578125" hidden="1" customWidth="1"/>
    <col min="2318" max="2321" width="7.7109375" customWidth="1"/>
    <col min="2547" max="2549" width="3.85546875" customWidth="1"/>
    <col min="2550" max="2550" width="5.5703125" customWidth="1"/>
    <col min="2551" max="2551" width="11.42578125" hidden="1" customWidth="1"/>
    <col min="2552" max="2552" width="7.42578125" customWidth="1"/>
    <col min="2553" max="2553" width="12.5703125" customWidth="1"/>
    <col min="2554" max="2554" width="14.28515625" customWidth="1"/>
    <col min="2555" max="2555" width="11.7109375" customWidth="1"/>
    <col min="2556" max="2556" width="9.7109375" customWidth="1"/>
    <col min="2557" max="2557" width="9" customWidth="1"/>
    <col min="2558" max="2558" width="10.7109375" customWidth="1"/>
    <col min="2559" max="2559" width="15.28515625" customWidth="1"/>
    <col min="2560" max="2560" width="16.7109375" customWidth="1"/>
    <col min="2561" max="2571" width="11.42578125" hidden="1" customWidth="1"/>
    <col min="2572" max="2572" width="7.5703125" customWidth="1"/>
    <col min="2573" max="2573" width="11.42578125" hidden="1" customWidth="1"/>
    <col min="2574" max="2577" width="7.7109375" customWidth="1"/>
    <col min="2803" max="2805" width="3.85546875" customWidth="1"/>
    <col min="2806" max="2806" width="5.5703125" customWidth="1"/>
    <col min="2807" max="2807" width="11.42578125" hidden="1" customWidth="1"/>
    <col min="2808" max="2808" width="7.42578125" customWidth="1"/>
    <col min="2809" max="2809" width="12.5703125" customWidth="1"/>
    <col min="2810" max="2810" width="14.28515625" customWidth="1"/>
    <col min="2811" max="2811" width="11.7109375" customWidth="1"/>
    <col min="2812" max="2812" width="9.7109375" customWidth="1"/>
    <col min="2813" max="2813" width="9" customWidth="1"/>
    <col min="2814" max="2814" width="10.7109375" customWidth="1"/>
    <col min="2815" max="2815" width="15.28515625" customWidth="1"/>
    <col min="2816" max="2816" width="16.7109375" customWidth="1"/>
    <col min="2817" max="2827" width="11.42578125" hidden="1" customWidth="1"/>
    <col min="2828" max="2828" width="7.5703125" customWidth="1"/>
    <col min="2829" max="2829" width="11.42578125" hidden="1" customWidth="1"/>
    <col min="2830" max="2833" width="7.7109375" customWidth="1"/>
    <col min="3059" max="3061" width="3.85546875" customWidth="1"/>
    <col min="3062" max="3062" width="5.5703125" customWidth="1"/>
    <col min="3063" max="3063" width="11.42578125" hidden="1" customWidth="1"/>
    <col min="3064" max="3064" width="7.42578125" customWidth="1"/>
    <col min="3065" max="3065" width="12.5703125" customWidth="1"/>
    <col min="3066" max="3066" width="14.28515625" customWidth="1"/>
    <col min="3067" max="3067" width="11.7109375" customWidth="1"/>
    <col min="3068" max="3068" width="9.7109375" customWidth="1"/>
    <col min="3069" max="3069" width="9" customWidth="1"/>
    <col min="3070" max="3070" width="10.7109375" customWidth="1"/>
    <col min="3071" max="3071" width="15.28515625" customWidth="1"/>
    <col min="3072" max="3072" width="16.7109375" customWidth="1"/>
    <col min="3073" max="3083" width="11.42578125" hidden="1" customWidth="1"/>
    <col min="3084" max="3084" width="7.5703125" customWidth="1"/>
    <col min="3085" max="3085" width="11.42578125" hidden="1" customWidth="1"/>
    <col min="3086" max="3089" width="7.7109375" customWidth="1"/>
    <col min="3315" max="3317" width="3.85546875" customWidth="1"/>
    <col min="3318" max="3318" width="5.5703125" customWidth="1"/>
    <col min="3319" max="3319" width="11.42578125" hidden="1" customWidth="1"/>
    <col min="3320" max="3320" width="7.42578125" customWidth="1"/>
    <col min="3321" max="3321" width="12.5703125" customWidth="1"/>
    <col min="3322" max="3322" width="14.28515625" customWidth="1"/>
    <col min="3323" max="3323" width="11.7109375" customWidth="1"/>
    <col min="3324" max="3324" width="9.7109375" customWidth="1"/>
    <col min="3325" max="3325" width="9" customWidth="1"/>
    <col min="3326" max="3326" width="10.7109375" customWidth="1"/>
    <col min="3327" max="3327" width="15.28515625" customWidth="1"/>
    <col min="3328" max="3328" width="16.7109375" customWidth="1"/>
    <col min="3329" max="3339" width="11.42578125" hidden="1" customWidth="1"/>
    <col min="3340" max="3340" width="7.5703125" customWidth="1"/>
    <col min="3341" max="3341" width="11.42578125" hidden="1" customWidth="1"/>
    <col min="3342" max="3345" width="7.7109375" customWidth="1"/>
    <col min="3571" max="3573" width="3.85546875" customWidth="1"/>
    <col min="3574" max="3574" width="5.5703125" customWidth="1"/>
    <col min="3575" max="3575" width="11.42578125" hidden="1" customWidth="1"/>
    <col min="3576" max="3576" width="7.42578125" customWidth="1"/>
    <col min="3577" max="3577" width="12.5703125" customWidth="1"/>
    <col min="3578" max="3578" width="14.28515625" customWidth="1"/>
    <col min="3579" max="3579" width="11.7109375" customWidth="1"/>
    <col min="3580" max="3580" width="9.7109375" customWidth="1"/>
    <col min="3581" max="3581" width="9" customWidth="1"/>
    <col min="3582" max="3582" width="10.7109375" customWidth="1"/>
    <col min="3583" max="3583" width="15.28515625" customWidth="1"/>
    <col min="3584" max="3584" width="16.7109375" customWidth="1"/>
    <col min="3585" max="3595" width="11.42578125" hidden="1" customWidth="1"/>
    <col min="3596" max="3596" width="7.5703125" customWidth="1"/>
    <col min="3597" max="3597" width="11.42578125" hidden="1" customWidth="1"/>
    <col min="3598" max="3601" width="7.7109375" customWidth="1"/>
    <col min="3827" max="3829" width="3.85546875" customWidth="1"/>
    <col min="3830" max="3830" width="5.5703125" customWidth="1"/>
    <col min="3831" max="3831" width="11.42578125" hidden="1" customWidth="1"/>
    <col min="3832" max="3832" width="7.42578125" customWidth="1"/>
    <col min="3833" max="3833" width="12.5703125" customWidth="1"/>
    <col min="3834" max="3834" width="14.28515625" customWidth="1"/>
    <col min="3835" max="3835" width="11.7109375" customWidth="1"/>
    <col min="3836" max="3836" width="9.7109375" customWidth="1"/>
    <col min="3837" max="3837" width="9" customWidth="1"/>
    <col min="3838" max="3838" width="10.7109375" customWidth="1"/>
    <col min="3839" max="3839" width="15.28515625" customWidth="1"/>
    <col min="3840" max="3840" width="16.7109375" customWidth="1"/>
    <col min="3841" max="3851" width="11.42578125" hidden="1" customWidth="1"/>
    <col min="3852" max="3852" width="7.5703125" customWidth="1"/>
    <col min="3853" max="3853" width="11.42578125" hidden="1" customWidth="1"/>
    <col min="3854" max="3857" width="7.7109375" customWidth="1"/>
    <col min="4083" max="4085" width="3.85546875" customWidth="1"/>
    <col min="4086" max="4086" width="5.5703125" customWidth="1"/>
    <col min="4087" max="4087" width="11.42578125" hidden="1" customWidth="1"/>
    <col min="4088" max="4088" width="7.42578125" customWidth="1"/>
    <col min="4089" max="4089" width="12.5703125" customWidth="1"/>
    <col min="4090" max="4090" width="14.28515625" customWidth="1"/>
    <col min="4091" max="4091" width="11.7109375" customWidth="1"/>
    <col min="4092" max="4092" width="9.7109375" customWidth="1"/>
    <col min="4093" max="4093" width="9" customWidth="1"/>
    <col min="4094" max="4094" width="10.7109375" customWidth="1"/>
    <col min="4095" max="4095" width="15.28515625" customWidth="1"/>
    <col min="4096" max="4096" width="16.7109375" customWidth="1"/>
    <col min="4097" max="4107" width="11.42578125" hidden="1" customWidth="1"/>
    <col min="4108" max="4108" width="7.5703125" customWidth="1"/>
    <col min="4109" max="4109" width="11.42578125" hidden="1" customWidth="1"/>
    <col min="4110" max="4113" width="7.7109375" customWidth="1"/>
    <col min="4339" max="4341" width="3.85546875" customWidth="1"/>
    <col min="4342" max="4342" width="5.5703125" customWidth="1"/>
    <col min="4343" max="4343" width="11.42578125" hidden="1" customWidth="1"/>
    <col min="4344" max="4344" width="7.42578125" customWidth="1"/>
    <col min="4345" max="4345" width="12.5703125" customWidth="1"/>
    <col min="4346" max="4346" width="14.28515625" customWidth="1"/>
    <col min="4347" max="4347" width="11.7109375" customWidth="1"/>
    <col min="4348" max="4348" width="9.7109375" customWidth="1"/>
    <col min="4349" max="4349" width="9" customWidth="1"/>
    <col min="4350" max="4350" width="10.7109375" customWidth="1"/>
    <col min="4351" max="4351" width="15.28515625" customWidth="1"/>
    <col min="4352" max="4352" width="16.7109375" customWidth="1"/>
    <col min="4353" max="4363" width="11.42578125" hidden="1" customWidth="1"/>
    <col min="4364" max="4364" width="7.5703125" customWidth="1"/>
    <col min="4365" max="4365" width="11.42578125" hidden="1" customWidth="1"/>
    <col min="4366" max="4369" width="7.7109375" customWidth="1"/>
    <col min="4595" max="4597" width="3.85546875" customWidth="1"/>
    <col min="4598" max="4598" width="5.5703125" customWidth="1"/>
    <col min="4599" max="4599" width="11.42578125" hidden="1" customWidth="1"/>
    <col min="4600" max="4600" width="7.42578125" customWidth="1"/>
    <col min="4601" max="4601" width="12.5703125" customWidth="1"/>
    <col min="4602" max="4602" width="14.28515625" customWidth="1"/>
    <col min="4603" max="4603" width="11.7109375" customWidth="1"/>
    <col min="4604" max="4604" width="9.7109375" customWidth="1"/>
    <col min="4605" max="4605" width="9" customWidth="1"/>
    <col min="4606" max="4606" width="10.7109375" customWidth="1"/>
    <col min="4607" max="4607" width="15.28515625" customWidth="1"/>
    <col min="4608" max="4608" width="16.7109375" customWidth="1"/>
    <col min="4609" max="4619" width="11.42578125" hidden="1" customWidth="1"/>
    <col min="4620" max="4620" width="7.5703125" customWidth="1"/>
    <col min="4621" max="4621" width="11.42578125" hidden="1" customWidth="1"/>
    <col min="4622" max="4625" width="7.7109375" customWidth="1"/>
    <col min="4851" max="4853" width="3.85546875" customWidth="1"/>
    <col min="4854" max="4854" width="5.5703125" customWidth="1"/>
    <col min="4855" max="4855" width="11.42578125" hidden="1" customWidth="1"/>
    <col min="4856" max="4856" width="7.42578125" customWidth="1"/>
    <col min="4857" max="4857" width="12.5703125" customWidth="1"/>
    <col min="4858" max="4858" width="14.28515625" customWidth="1"/>
    <col min="4859" max="4859" width="11.7109375" customWidth="1"/>
    <col min="4860" max="4860" width="9.7109375" customWidth="1"/>
    <col min="4861" max="4861" width="9" customWidth="1"/>
    <col min="4862" max="4862" width="10.7109375" customWidth="1"/>
    <col min="4863" max="4863" width="15.28515625" customWidth="1"/>
    <col min="4864" max="4864" width="16.7109375" customWidth="1"/>
    <col min="4865" max="4875" width="11.42578125" hidden="1" customWidth="1"/>
    <col min="4876" max="4876" width="7.5703125" customWidth="1"/>
    <col min="4877" max="4877" width="11.42578125" hidden="1" customWidth="1"/>
    <col min="4878" max="4881" width="7.7109375" customWidth="1"/>
    <col min="5107" max="5109" width="3.85546875" customWidth="1"/>
    <col min="5110" max="5110" width="5.5703125" customWidth="1"/>
    <col min="5111" max="5111" width="11.42578125" hidden="1" customWidth="1"/>
    <col min="5112" max="5112" width="7.42578125" customWidth="1"/>
    <col min="5113" max="5113" width="12.5703125" customWidth="1"/>
    <col min="5114" max="5114" width="14.28515625" customWidth="1"/>
    <col min="5115" max="5115" width="11.7109375" customWidth="1"/>
    <col min="5116" max="5116" width="9.7109375" customWidth="1"/>
    <col min="5117" max="5117" width="9" customWidth="1"/>
    <col min="5118" max="5118" width="10.7109375" customWidth="1"/>
    <col min="5119" max="5119" width="15.28515625" customWidth="1"/>
    <col min="5120" max="5120" width="16.7109375" customWidth="1"/>
    <col min="5121" max="5131" width="11.42578125" hidden="1" customWidth="1"/>
    <col min="5132" max="5132" width="7.5703125" customWidth="1"/>
    <col min="5133" max="5133" width="11.42578125" hidden="1" customWidth="1"/>
    <col min="5134" max="5137" width="7.7109375" customWidth="1"/>
    <col min="5363" max="5365" width="3.85546875" customWidth="1"/>
    <col min="5366" max="5366" width="5.5703125" customWidth="1"/>
    <col min="5367" max="5367" width="11.42578125" hidden="1" customWidth="1"/>
    <col min="5368" max="5368" width="7.42578125" customWidth="1"/>
    <col min="5369" max="5369" width="12.5703125" customWidth="1"/>
    <col min="5370" max="5370" width="14.28515625" customWidth="1"/>
    <col min="5371" max="5371" width="11.7109375" customWidth="1"/>
    <col min="5372" max="5372" width="9.7109375" customWidth="1"/>
    <col min="5373" max="5373" width="9" customWidth="1"/>
    <col min="5374" max="5374" width="10.7109375" customWidth="1"/>
    <col min="5375" max="5375" width="15.28515625" customWidth="1"/>
    <col min="5376" max="5376" width="16.7109375" customWidth="1"/>
    <col min="5377" max="5387" width="11.42578125" hidden="1" customWidth="1"/>
    <col min="5388" max="5388" width="7.5703125" customWidth="1"/>
    <col min="5389" max="5389" width="11.42578125" hidden="1" customWidth="1"/>
    <col min="5390" max="5393" width="7.7109375" customWidth="1"/>
    <col min="5619" max="5621" width="3.85546875" customWidth="1"/>
    <col min="5622" max="5622" width="5.5703125" customWidth="1"/>
    <col min="5623" max="5623" width="11.42578125" hidden="1" customWidth="1"/>
    <col min="5624" max="5624" width="7.42578125" customWidth="1"/>
    <col min="5625" max="5625" width="12.5703125" customWidth="1"/>
    <col min="5626" max="5626" width="14.28515625" customWidth="1"/>
    <col min="5627" max="5627" width="11.7109375" customWidth="1"/>
    <col min="5628" max="5628" width="9.7109375" customWidth="1"/>
    <col min="5629" max="5629" width="9" customWidth="1"/>
    <col min="5630" max="5630" width="10.7109375" customWidth="1"/>
    <col min="5631" max="5631" width="15.28515625" customWidth="1"/>
    <col min="5632" max="5632" width="16.7109375" customWidth="1"/>
    <col min="5633" max="5643" width="11.42578125" hidden="1" customWidth="1"/>
    <col min="5644" max="5644" width="7.5703125" customWidth="1"/>
    <col min="5645" max="5645" width="11.42578125" hidden="1" customWidth="1"/>
    <col min="5646" max="5649" width="7.7109375" customWidth="1"/>
    <col min="5875" max="5877" width="3.85546875" customWidth="1"/>
    <col min="5878" max="5878" width="5.5703125" customWidth="1"/>
    <col min="5879" max="5879" width="11.42578125" hidden="1" customWidth="1"/>
    <col min="5880" max="5880" width="7.42578125" customWidth="1"/>
    <col min="5881" max="5881" width="12.5703125" customWidth="1"/>
    <col min="5882" max="5882" width="14.28515625" customWidth="1"/>
    <col min="5883" max="5883" width="11.7109375" customWidth="1"/>
    <col min="5884" max="5884" width="9.7109375" customWidth="1"/>
    <col min="5885" max="5885" width="9" customWidth="1"/>
    <col min="5886" max="5886" width="10.7109375" customWidth="1"/>
    <col min="5887" max="5887" width="15.28515625" customWidth="1"/>
    <col min="5888" max="5888" width="16.7109375" customWidth="1"/>
    <col min="5889" max="5899" width="11.42578125" hidden="1" customWidth="1"/>
    <col min="5900" max="5900" width="7.5703125" customWidth="1"/>
    <col min="5901" max="5901" width="11.42578125" hidden="1" customWidth="1"/>
    <col min="5902" max="5905" width="7.7109375" customWidth="1"/>
    <col min="6131" max="6133" width="3.85546875" customWidth="1"/>
    <col min="6134" max="6134" width="5.5703125" customWidth="1"/>
    <col min="6135" max="6135" width="11.42578125" hidden="1" customWidth="1"/>
    <col min="6136" max="6136" width="7.42578125" customWidth="1"/>
    <col min="6137" max="6137" width="12.5703125" customWidth="1"/>
    <col min="6138" max="6138" width="14.28515625" customWidth="1"/>
    <col min="6139" max="6139" width="11.7109375" customWidth="1"/>
    <col min="6140" max="6140" width="9.7109375" customWidth="1"/>
    <col min="6141" max="6141" width="9" customWidth="1"/>
    <col min="6142" max="6142" width="10.7109375" customWidth="1"/>
    <col min="6143" max="6143" width="15.28515625" customWidth="1"/>
    <col min="6144" max="6144" width="16.7109375" customWidth="1"/>
    <col min="6145" max="6155" width="11.42578125" hidden="1" customWidth="1"/>
    <col min="6156" max="6156" width="7.5703125" customWidth="1"/>
    <col min="6157" max="6157" width="11.42578125" hidden="1" customWidth="1"/>
    <col min="6158" max="6161" width="7.7109375" customWidth="1"/>
    <col min="6387" max="6389" width="3.85546875" customWidth="1"/>
    <col min="6390" max="6390" width="5.5703125" customWidth="1"/>
    <col min="6391" max="6391" width="11.42578125" hidden="1" customWidth="1"/>
    <col min="6392" max="6392" width="7.42578125" customWidth="1"/>
    <col min="6393" max="6393" width="12.5703125" customWidth="1"/>
    <col min="6394" max="6394" width="14.28515625" customWidth="1"/>
    <col min="6395" max="6395" width="11.7109375" customWidth="1"/>
    <col min="6396" max="6396" width="9.7109375" customWidth="1"/>
    <col min="6397" max="6397" width="9" customWidth="1"/>
    <col min="6398" max="6398" width="10.7109375" customWidth="1"/>
    <col min="6399" max="6399" width="15.28515625" customWidth="1"/>
    <col min="6400" max="6400" width="16.7109375" customWidth="1"/>
    <col min="6401" max="6411" width="11.42578125" hidden="1" customWidth="1"/>
    <col min="6412" max="6412" width="7.5703125" customWidth="1"/>
    <col min="6413" max="6413" width="11.42578125" hidden="1" customWidth="1"/>
    <col min="6414" max="6417" width="7.7109375" customWidth="1"/>
    <col min="6643" max="6645" width="3.85546875" customWidth="1"/>
    <col min="6646" max="6646" width="5.5703125" customWidth="1"/>
    <col min="6647" max="6647" width="11.42578125" hidden="1" customWidth="1"/>
    <col min="6648" max="6648" width="7.42578125" customWidth="1"/>
    <col min="6649" max="6649" width="12.5703125" customWidth="1"/>
    <col min="6650" max="6650" width="14.28515625" customWidth="1"/>
    <col min="6651" max="6651" width="11.7109375" customWidth="1"/>
    <col min="6652" max="6652" width="9.7109375" customWidth="1"/>
    <col min="6653" max="6653" width="9" customWidth="1"/>
    <col min="6654" max="6654" width="10.7109375" customWidth="1"/>
    <col min="6655" max="6655" width="15.28515625" customWidth="1"/>
    <col min="6656" max="6656" width="16.7109375" customWidth="1"/>
    <col min="6657" max="6667" width="11.42578125" hidden="1" customWidth="1"/>
    <col min="6668" max="6668" width="7.5703125" customWidth="1"/>
    <col min="6669" max="6669" width="11.42578125" hidden="1" customWidth="1"/>
    <col min="6670" max="6673" width="7.7109375" customWidth="1"/>
    <col min="6899" max="6901" width="3.85546875" customWidth="1"/>
    <col min="6902" max="6902" width="5.5703125" customWidth="1"/>
    <col min="6903" max="6903" width="11.42578125" hidden="1" customWidth="1"/>
    <col min="6904" max="6904" width="7.42578125" customWidth="1"/>
    <col min="6905" max="6905" width="12.5703125" customWidth="1"/>
    <col min="6906" max="6906" width="14.28515625" customWidth="1"/>
    <col min="6907" max="6907" width="11.7109375" customWidth="1"/>
    <col min="6908" max="6908" width="9.7109375" customWidth="1"/>
    <col min="6909" max="6909" width="9" customWidth="1"/>
    <col min="6910" max="6910" width="10.7109375" customWidth="1"/>
    <col min="6911" max="6911" width="15.28515625" customWidth="1"/>
    <col min="6912" max="6912" width="16.7109375" customWidth="1"/>
    <col min="6913" max="6923" width="11.42578125" hidden="1" customWidth="1"/>
    <col min="6924" max="6924" width="7.5703125" customWidth="1"/>
    <col min="6925" max="6925" width="11.42578125" hidden="1" customWidth="1"/>
    <col min="6926" max="6929" width="7.7109375" customWidth="1"/>
    <col min="7155" max="7157" width="3.85546875" customWidth="1"/>
    <col min="7158" max="7158" width="5.5703125" customWidth="1"/>
    <col min="7159" max="7159" width="11.42578125" hidden="1" customWidth="1"/>
    <col min="7160" max="7160" width="7.42578125" customWidth="1"/>
    <col min="7161" max="7161" width="12.5703125" customWidth="1"/>
    <col min="7162" max="7162" width="14.28515625" customWidth="1"/>
    <col min="7163" max="7163" width="11.7109375" customWidth="1"/>
    <col min="7164" max="7164" width="9.7109375" customWidth="1"/>
    <col min="7165" max="7165" width="9" customWidth="1"/>
    <col min="7166" max="7166" width="10.7109375" customWidth="1"/>
    <col min="7167" max="7167" width="15.28515625" customWidth="1"/>
    <col min="7168" max="7168" width="16.7109375" customWidth="1"/>
    <col min="7169" max="7179" width="11.42578125" hidden="1" customWidth="1"/>
    <col min="7180" max="7180" width="7.5703125" customWidth="1"/>
    <col min="7181" max="7181" width="11.42578125" hidden="1" customWidth="1"/>
    <col min="7182" max="7185" width="7.7109375" customWidth="1"/>
    <col min="7411" max="7413" width="3.85546875" customWidth="1"/>
    <col min="7414" max="7414" width="5.5703125" customWidth="1"/>
    <col min="7415" max="7415" width="11.42578125" hidden="1" customWidth="1"/>
    <col min="7416" max="7416" width="7.42578125" customWidth="1"/>
    <col min="7417" max="7417" width="12.5703125" customWidth="1"/>
    <col min="7418" max="7418" width="14.28515625" customWidth="1"/>
    <col min="7419" max="7419" width="11.7109375" customWidth="1"/>
    <col min="7420" max="7420" width="9.7109375" customWidth="1"/>
    <col min="7421" max="7421" width="9" customWidth="1"/>
    <col min="7422" max="7422" width="10.7109375" customWidth="1"/>
    <col min="7423" max="7423" width="15.28515625" customWidth="1"/>
    <col min="7424" max="7424" width="16.7109375" customWidth="1"/>
    <col min="7425" max="7435" width="11.42578125" hidden="1" customWidth="1"/>
    <col min="7436" max="7436" width="7.5703125" customWidth="1"/>
    <col min="7437" max="7437" width="11.42578125" hidden="1" customWidth="1"/>
    <col min="7438" max="7441" width="7.7109375" customWidth="1"/>
    <col min="7667" max="7669" width="3.85546875" customWidth="1"/>
    <col min="7670" max="7670" width="5.5703125" customWidth="1"/>
    <col min="7671" max="7671" width="11.42578125" hidden="1" customWidth="1"/>
    <col min="7672" max="7672" width="7.42578125" customWidth="1"/>
    <col min="7673" max="7673" width="12.5703125" customWidth="1"/>
    <col min="7674" max="7674" width="14.28515625" customWidth="1"/>
    <col min="7675" max="7675" width="11.7109375" customWidth="1"/>
    <col min="7676" max="7676" width="9.7109375" customWidth="1"/>
    <col min="7677" max="7677" width="9" customWidth="1"/>
    <col min="7678" max="7678" width="10.7109375" customWidth="1"/>
    <col min="7679" max="7679" width="15.28515625" customWidth="1"/>
    <col min="7680" max="7680" width="16.7109375" customWidth="1"/>
    <col min="7681" max="7691" width="11.42578125" hidden="1" customWidth="1"/>
    <col min="7692" max="7692" width="7.5703125" customWidth="1"/>
    <col min="7693" max="7693" width="11.42578125" hidden="1" customWidth="1"/>
    <col min="7694" max="7697" width="7.7109375" customWidth="1"/>
    <col min="7923" max="7925" width="3.85546875" customWidth="1"/>
    <col min="7926" max="7926" width="5.5703125" customWidth="1"/>
    <col min="7927" max="7927" width="11.42578125" hidden="1" customWidth="1"/>
    <col min="7928" max="7928" width="7.42578125" customWidth="1"/>
    <col min="7929" max="7929" width="12.5703125" customWidth="1"/>
    <col min="7930" max="7930" width="14.28515625" customWidth="1"/>
    <col min="7931" max="7931" width="11.7109375" customWidth="1"/>
    <col min="7932" max="7932" width="9.7109375" customWidth="1"/>
    <col min="7933" max="7933" width="9" customWidth="1"/>
    <col min="7934" max="7934" width="10.7109375" customWidth="1"/>
    <col min="7935" max="7935" width="15.28515625" customWidth="1"/>
    <col min="7936" max="7936" width="16.7109375" customWidth="1"/>
    <col min="7937" max="7947" width="11.42578125" hidden="1" customWidth="1"/>
    <col min="7948" max="7948" width="7.5703125" customWidth="1"/>
    <col min="7949" max="7949" width="11.42578125" hidden="1" customWidth="1"/>
    <col min="7950" max="7953" width="7.7109375" customWidth="1"/>
    <col min="8179" max="8181" width="3.85546875" customWidth="1"/>
    <col min="8182" max="8182" width="5.5703125" customWidth="1"/>
    <col min="8183" max="8183" width="11.42578125" hidden="1" customWidth="1"/>
    <col min="8184" max="8184" width="7.42578125" customWidth="1"/>
    <col min="8185" max="8185" width="12.5703125" customWidth="1"/>
    <col min="8186" max="8186" width="14.28515625" customWidth="1"/>
    <col min="8187" max="8187" width="11.7109375" customWidth="1"/>
    <col min="8188" max="8188" width="9.7109375" customWidth="1"/>
    <col min="8189" max="8189" width="9" customWidth="1"/>
    <col min="8190" max="8190" width="10.7109375" customWidth="1"/>
    <col min="8191" max="8191" width="15.28515625" customWidth="1"/>
    <col min="8192" max="8192" width="16.7109375" customWidth="1"/>
    <col min="8193" max="8203" width="11.42578125" hidden="1" customWidth="1"/>
    <col min="8204" max="8204" width="7.5703125" customWidth="1"/>
    <col min="8205" max="8205" width="11.42578125" hidden="1" customWidth="1"/>
    <col min="8206" max="8209" width="7.7109375" customWidth="1"/>
    <col min="8435" max="8437" width="3.85546875" customWidth="1"/>
    <col min="8438" max="8438" width="5.5703125" customWidth="1"/>
    <col min="8439" max="8439" width="11.42578125" hidden="1" customWidth="1"/>
    <col min="8440" max="8440" width="7.42578125" customWidth="1"/>
    <col min="8441" max="8441" width="12.5703125" customWidth="1"/>
    <col min="8442" max="8442" width="14.28515625" customWidth="1"/>
    <col min="8443" max="8443" width="11.7109375" customWidth="1"/>
    <col min="8444" max="8444" width="9.7109375" customWidth="1"/>
    <col min="8445" max="8445" width="9" customWidth="1"/>
    <col min="8446" max="8446" width="10.7109375" customWidth="1"/>
    <col min="8447" max="8447" width="15.28515625" customWidth="1"/>
    <col min="8448" max="8448" width="16.7109375" customWidth="1"/>
    <col min="8449" max="8459" width="11.42578125" hidden="1" customWidth="1"/>
    <col min="8460" max="8460" width="7.5703125" customWidth="1"/>
    <col min="8461" max="8461" width="11.42578125" hidden="1" customWidth="1"/>
    <col min="8462" max="8465" width="7.7109375" customWidth="1"/>
    <col min="8691" max="8693" width="3.85546875" customWidth="1"/>
    <col min="8694" max="8694" width="5.5703125" customWidth="1"/>
    <col min="8695" max="8695" width="11.42578125" hidden="1" customWidth="1"/>
    <col min="8696" max="8696" width="7.42578125" customWidth="1"/>
    <col min="8697" max="8697" width="12.5703125" customWidth="1"/>
    <col min="8698" max="8698" width="14.28515625" customWidth="1"/>
    <col min="8699" max="8699" width="11.7109375" customWidth="1"/>
    <col min="8700" max="8700" width="9.7109375" customWidth="1"/>
    <col min="8701" max="8701" width="9" customWidth="1"/>
    <col min="8702" max="8702" width="10.7109375" customWidth="1"/>
    <col min="8703" max="8703" width="15.28515625" customWidth="1"/>
    <col min="8704" max="8704" width="16.7109375" customWidth="1"/>
    <col min="8705" max="8715" width="11.42578125" hidden="1" customWidth="1"/>
    <col min="8716" max="8716" width="7.5703125" customWidth="1"/>
    <col min="8717" max="8717" width="11.42578125" hidden="1" customWidth="1"/>
    <col min="8718" max="8721" width="7.7109375" customWidth="1"/>
    <col min="8947" max="8949" width="3.85546875" customWidth="1"/>
    <col min="8950" max="8950" width="5.5703125" customWidth="1"/>
    <col min="8951" max="8951" width="11.42578125" hidden="1" customWidth="1"/>
    <col min="8952" max="8952" width="7.42578125" customWidth="1"/>
    <col min="8953" max="8953" width="12.5703125" customWidth="1"/>
    <col min="8954" max="8954" width="14.28515625" customWidth="1"/>
    <col min="8955" max="8955" width="11.7109375" customWidth="1"/>
    <col min="8956" max="8956" width="9.7109375" customWidth="1"/>
    <col min="8957" max="8957" width="9" customWidth="1"/>
    <col min="8958" max="8958" width="10.7109375" customWidth="1"/>
    <col min="8959" max="8959" width="15.28515625" customWidth="1"/>
    <col min="8960" max="8960" width="16.7109375" customWidth="1"/>
    <col min="8961" max="8971" width="11.42578125" hidden="1" customWidth="1"/>
    <col min="8972" max="8972" width="7.5703125" customWidth="1"/>
    <col min="8973" max="8973" width="11.42578125" hidden="1" customWidth="1"/>
    <col min="8974" max="8977" width="7.7109375" customWidth="1"/>
    <col min="9203" max="9205" width="3.85546875" customWidth="1"/>
    <col min="9206" max="9206" width="5.5703125" customWidth="1"/>
    <col min="9207" max="9207" width="11.42578125" hidden="1" customWidth="1"/>
    <col min="9208" max="9208" width="7.42578125" customWidth="1"/>
    <col min="9209" max="9209" width="12.5703125" customWidth="1"/>
    <col min="9210" max="9210" width="14.28515625" customWidth="1"/>
    <col min="9211" max="9211" width="11.7109375" customWidth="1"/>
    <col min="9212" max="9212" width="9.7109375" customWidth="1"/>
    <col min="9213" max="9213" width="9" customWidth="1"/>
    <col min="9214" max="9214" width="10.7109375" customWidth="1"/>
    <col min="9215" max="9215" width="15.28515625" customWidth="1"/>
    <col min="9216" max="9216" width="16.7109375" customWidth="1"/>
    <col min="9217" max="9227" width="11.42578125" hidden="1" customWidth="1"/>
    <col min="9228" max="9228" width="7.5703125" customWidth="1"/>
    <col min="9229" max="9229" width="11.42578125" hidden="1" customWidth="1"/>
    <col min="9230" max="9233" width="7.7109375" customWidth="1"/>
    <col min="9459" max="9461" width="3.85546875" customWidth="1"/>
    <col min="9462" max="9462" width="5.5703125" customWidth="1"/>
    <col min="9463" max="9463" width="11.42578125" hidden="1" customWidth="1"/>
    <col min="9464" max="9464" width="7.42578125" customWidth="1"/>
    <col min="9465" max="9465" width="12.5703125" customWidth="1"/>
    <col min="9466" max="9466" width="14.28515625" customWidth="1"/>
    <col min="9467" max="9467" width="11.7109375" customWidth="1"/>
    <col min="9468" max="9468" width="9.7109375" customWidth="1"/>
    <col min="9469" max="9469" width="9" customWidth="1"/>
    <col min="9470" max="9470" width="10.7109375" customWidth="1"/>
    <col min="9471" max="9471" width="15.28515625" customWidth="1"/>
    <col min="9472" max="9472" width="16.7109375" customWidth="1"/>
    <col min="9473" max="9483" width="11.42578125" hidden="1" customWidth="1"/>
    <col min="9484" max="9484" width="7.5703125" customWidth="1"/>
    <col min="9485" max="9485" width="11.42578125" hidden="1" customWidth="1"/>
    <col min="9486" max="9489" width="7.7109375" customWidth="1"/>
    <col min="9715" max="9717" width="3.85546875" customWidth="1"/>
    <col min="9718" max="9718" width="5.5703125" customWidth="1"/>
    <col min="9719" max="9719" width="11.42578125" hidden="1" customWidth="1"/>
    <col min="9720" max="9720" width="7.42578125" customWidth="1"/>
    <col min="9721" max="9721" width="12.5703125" customWidth="1"/>
    <col min="9722" max="9722" width="14.28515625" customWidth="1"/>
    <col min="9723" max="9723" width="11.7109375" customWidth="1"/>
    <col min="9724" max="9724" width="9.7109375" customWidth="1"/>
    <col min="9725" max="9725" width="9" customWidth="1"/>
    <col min="9726" max="9726" width="10.7109375" customWidth="1"/>
    <col min="9727" max="9727" width="15.28515625" customWidth="1"/>
    <col min="9728" max="9728" width="16.7109375" customWidth="1"/>
    <col min="9729" max="9739" width="11.42578125" hidden="1" customWidth="1"/>
    <col min="9740" max="9740" width="7.5703125" customWidth="1"/>
    <col min="9741" max="9741" width="11.42578125" hidden="1" customWidth="1"/>
    <col min="9742" max="9745" width="7.7109375" customWidth="1"/>
    <col min="9971" max="9973" width="3.85546875" customWidth="1"/>
    <col min="9974" max="9974" width="5.5703125" customWidth="1"/>
    <col min="9975" max="9975" width="11.42578125" hidden="1" customWidth="1"/>
    <col min="9976" max="9976" width="7.42578125" customWidth="1"/>
    <col min="9977" max="9977" width="12.5703125" customWidth="1"/>
    <col min="9978" max="9978" width="14.28515625" customWidth="1"/>
    <col min="9979" max="9979" width="11.7109375" customWidth="1"/>
    <col min="9980" max="9980" width="9.7109375" customWidth="1"/>
    <col min="9981" max="9981" width="9" customWidth="1"/>
    <col min="9982" max="9982" width="10.7109375" customWidth="1"/>
    <col min="9983" max="9983" width="15.28515625" customWidth="1"/>
    <col min="9984" max="9984" width="16.7109375" customWidth="1"/>
    <col min="9985" max="9995" width="11.42578125" hidden="1" customWidth="1"/>
    <col min="9996" max="9996" width="7.5703125" customWidth="1"/>
    <col min="9997" max="9997" width="11.42578125" hidden="1" customWidth="1"/>
    <col min="9998" max="10001" width="7.7109375" customWidth="1"/>
    <col min="10227" max="10229" width="3.85546875" customWidth="1"/>
    <col min="10230" max="10230" width="5.5703125" customWidth="1"/>
    <col min="10231" max="10231" width="11.42578125" hidden="1" customWidth="1"/>
    <col min="10232" max="10232" width="7.42578125" customWidth="1"/>
    <col min="10233" max="10233" width="12.5703125" customWidth="1"/>
    <col min="10234" max="10234" width="14.28515625" customWidth="1"/>
    <col min="10235" max="10235" width="11.7109375" customWidth="1"/>
    <col min="10236" max="10236" width="9.7109375" customWidth="1"/>
    <col min="10237" max="10237" width="9" customWidth="1"/>
    <col min="10238" max="10238" width="10.7109375" customWidth="1"/>
    <col min="10239" max="10239" width="15.28515625" customWidth="1"/>
    <col min="10240" max="10240" width="16.7109375" customWidth="1"/>
    <col min="10241" max="10251" width="11.42578125" hidden="1" customWidth="1"/>
    <col min="10252" max="10252" width="7.5703125" customWidth="1"/>
    <col min="10253" max="10253" width="11.42578125" hidden="1" customWidth="1"/>
    <col min="10254" max="10257" width="7.7109375" customWidth="1"/>
    <col min="10483" max="10485" width="3.85546875" customWidth="1"/>
    <col min="10486" max="10486" width="5.5703125" customWidth="1"/>
    <col min="10487" max="10487" width="11.42578125" hidden="1" customWidth="1"/>
    <col min="10488" max="10488" width="7.42578125" customWidth="1"/>
    <col min="10489" max="10489" width="12.5703125" customWidth="1"/>
    <col min="10490" max="10490" width="14.28515625" customWidth="1"/>
    <col min="10491" max="10491" width="11.7109375" customWidth="1"/>
    <col min="10492" max="10492" width="9.7109375" customWidth="1"/>
    <col min="10493" max="10493" width="9" customWidth="1"/>
    <col min="10494" max="10494" width="10.7109375" customWidth="1"/>
    <col min="10495" max="10495" width="15.28515625" customWidth="1"/>
    <col min="10496" max="10496" width="16.7109375" customWidth="1"/>
    <col min="10497" max="10507" width="11.42578125" hidden="1" customWidth="1"/>
    <col min="10508" max="10508" width="7.5703125" customWidth="1"/>
    <col min="10509" max="10509" width="11.42578125" hidden="1" customWidth="1"/>
    <col min="10510" max="10513" width="7.7109375" customWidth="1"/>
    <col min="10739" max="10741" width="3.85546875" customWidth="1"/>
    <col min="10742" max="10742" width="5.5703125" customWidth="1"/>
    <col min="10743" max="10743" width="11.42578125" hidden="1" customWidth="1"/>
    <col min="10744" max="10744" width="7.42578125" customWidth="1"/>
    <col min="10745" max="10745" width="12.5703125" customWidth="1"/>
    <col min="10746" max="10746" width="14.28515625" customWidth="1"/>
    <col min="10747" max="10747" width="11.7109375" customWidth="1"/>
    <col min="10748" max="10748" width="9.7109375" customWidth="1"/>
    <col min="10749" max="10749" width="9" customWidth="1"/>
    <col min="10750" max="10750" width="10.7109375" customWidth="1"/>
    <col min="10751" max="10751" width="15.28515625" customWidth="1"/>
    <col min="10752" max="10752" width="16.7109375" customWidth="1"/>
    <col min="10753" max="10763" width="11.42578125" hidden="1" customWidth="1"/>
    <col min="10764" max="10764" width="7.5703125" customWidth="1"/>
    <col min="10765" max="10765" width="11.42578125" hidden="1" customWidth="1"/>
    <col min="10766" max="10769" width="7.7109375" customWidth="1"/>
    <col min="10995" max="10997" width="3.85546875" customWidth="1"/>
    <col min="10998" max="10998" width="5.5703125" customWidth="1"/>
    <col min="10999" max="10999" width="11.42578125" hidden="1" customWidth="1"/>
    <col min="11000" max="11000" width="7.42578125" customWidth="1"/>
    <col min="11001" max="11001" width="12.5703125" customWidth="1"/>
    <col min="11002" max="11002" width="14.28515625" customWidth="1"/>
    <col min="11003" max="11003" width="11.7109375" customWidth="1"/>
    <col min="11004" max="11004" width="9.7109375" customWidth="1"/>
    <col min="11005" max="11005" width="9" customWidth="1"/>
    <col min="11006" max="11006" width="10.7109375" customWidth="1"/>
    <col min="11007" max="11007" width="15.28515625" customWidth="1"/>
    <col min="11008" max="11008" width="16.7109375" customWidth="1"/>
    <col min="11009" max="11019" width="11.42578125" hidden="1" customWidth="1"/>
    <col min="11020" max="11020" width="7.5703125" customWidth="1"/>
    <col min="11021" max="11021" width="11.42578125" hidden="1" customWidth="1"/>
    <col min="11022" max="11025" width="7.7109375" customWidth="1"/>
    <col min="11251" max="11253" width="3.85546875" customWidth="1"/>
    <col min="11254" max="11254" width="5.5703125" customWidth="1"/>
    <col min="11255" max="11255" width="11.42578125" hidden="1" customWidth="1"/>
    <col min="11256" max="11256" width="7.42578125" customWidth="1"/>
    <col min="11257" max="11257" width="12.5703125" customWidth="1"/>
    <col min="11258" max="11258" width="14.28515625" customWidth="1"/>
    <col min="11259" max="11259" width="11.7109375" customWidth="1"/>
    <col min="11260" max="11260" width="9.7109375" customWidth="1"/>
    <col min="11261" max="11261" width="9" customWidth="1"/>
    <col min="11262" max="11262" width="10.7109375" customWidth="1"/>
    <col min="11263" max="11263" width="15.28515625" customWidth="1"/>
    <col min="11264" max="11264" width="16.7109375" customWidth="1"/>
    <col min="11265" max="11275" width="11.42578125" hidden="1" customWidth="1"/>
    <col min="11276" max="11276" width="7.5703125" customWidth="1"/>
    <col min="11277" max="11277" width="11.42578125" hidden="1" customWidth="1"/>
    <col min="11278" max="11281" width="7.7109375" customWidth="1"/>
    <col min="11507" max="11509" width="3.85546875" customWidth="1"/>
    <col min="11510" max="11510" width="5.5703125" customWidth="1"/>
    <col min="11511" max="11511" width="11.42578125" hidden="1" customWidth="1"/>
    <col min="11512" max="11512" width="7.42578125" customWidth="1"/>
    <col min="11513" max="11513" width="12.5703125" customWidth="1"/>
    <col min="11514" max="11514" width="14.28515625" customWidth="1"/>
    <col min="11515" max="11515" width="11.7109375" customWidth="1"/>
    <col min="11516" max="11516" width="9.7109375" customWidth="1"/>
    <col min="11517" max="11517" width="9" customWidth="1"/>
    <col min="11518" max="11518" width="10.7109375" customWidth="1"/>
    <col min="11519" max="11519" width="15.28515625" customWidth="1"/>
    <col min="11520" max="11520" width="16.7109375" customWidth="1"/>
    <col min="11521" max="11531" width="11.42578125" hidden="1" customWidth="1"/>
    <col min="11532" max="11532" width="7.5703125" customWidth="1"/>
    <col min="11533" max="11533" width="11.42578125" hidden="1" customWidth="1"/>
    <col min="11534" max="11537" width="7.7109375" customWidth="1"/>
    <col min="11763" max="11765" width="3.85546875" customWidth="1"/>
    <col min="11766" max="11766" width="5.5703125" customWidth="1"/>
    <col min="11767" max="11767" width="11.42578125" hidden="1" customWidth="1"/>
    <col min="11768" max="11768" width="7.42578125" customWidth="1"/>
    <col min="11769" max="11769" width="12.5703125" customWidth="1"/>
    <col min="11770" max="11770" width="14.28515625" customWidth="1"/>
    <col min="11771" max="11771" width="11.7109375" customWidth="1"/>
    <col min="11772" max="11772" width="9.7109375" customWidth="1"/>
    <col min="11773" max="11773" width="9" customWidth="1"/>
    <col min="11774" max="11774" width="10.7109375" customWidth="1"/>
    <col min="11775" max="11775" width="15.28515625" customWidth="1"/>
    <col min="11776" max="11776" width="16.7109375" customWidth="1"/>
    <col min="11777" max="11787" width="11.42578125" hidden="1" customWidth="1"/>
    <col min="11788" max="11788" width="7.5703125" customWidth="1"/>
    <col min="11789" max="11789" width="11.42578125" hidden="1" customWidth="1"/>
    <col min="11790" max="11793" width="7.7109375" customWidth="1"/>
    <col min="12019" max="12021" width="3.85546875" customWidth="1"/>
    <col min="12022" max="12022" width="5.5703125" customWidth="1"/>
    <col min="12023" max="12023" width="11.42578125" hidden="1" customWidth="1"/>
    <col min="12024" max="12024" width="7.42578125" customWidth="1"/>
    <col min="12025" max="12025" width="12.5703125" customWidth="1"/>
    <col min="12026" max="12026" width="14.28515625" customWidth="1"/>
    <col min="12027" max="12027" width="11.7109375" customWidth="1"/>
    <col min="12028" max="12028" width="9.7109375" customWidth="1"/>
    <col min="12029" max="12029" width="9" customWidth="1"/>
    <col min="12030" max="12030" width="10.7109375" customWidth="1"/>
    <col min="12031" max="12031" width="15.28515625" customWidth="1"/>
    <col min="12032" max="12032" width="16.7109375" customWidth="1"/>
    <col min="12033" max="12043" width="11.42578125" hidden="1" customWidth="1"/>
    <col min="12044" max="12044" width="7.5703125" customWidth="1"/>
    <col min="12045" max="12045" width="11.42578125" hidden="1" customWidth="1"/>
    <col min="12046" max="12049" width="7.7109375" customWidth="1"/>
    <col min="12275" max="12277" width="3.85546875" customWidth="1"/>
    <col min="12278" max="12278" width="5.5703125" customWidth="1"/>
    <col min="12279" max="12279" width="11.42578125" hidden="1" customWidth="1"/>
    <col min="12280" max="12280" width="7.42578125" customWidth="1"/>
    <col min="12281" max="12281" width="12.5703125" customWidth="1"/>
    <col min="12282" max="12282" width="14.28515625" customWidth="1"/>
    <col min="12283" max="12283" width="11.7109375" customWidth="1"/>
    <col min="12284" max="12284" width="9.7109375" customWidth="1"/>
    <col min="12285" max="12285" width="9" customWidth="1"/>
    <col min="12286" max="12286" width="10.7109375" customWidth="1"/>
    <col min="12287" max="12287" width="15.28515625" customWidth="1"/>
    <col min="12288" max="12288" width="16.7109375" customWidth="1"/>
    <col min="12289" max="12299" width="11.42578125" hidden="1" customWidth="1"/>
    <col min="12300" max="12300" width="7.5703125" customWidth="1"/>
    <col min="12301" max="12301" width="11.42578125" hidden="1" customWidth="1"/>
    <col min="12302" max="12305" width="7.7109375" customWidth="1"/>
    <col min="12531" max="12533" width="3.85546875" customWidth="1"/>
    <col min="12534" max="12534" width="5.5703125" customWidth="1"/>
    <col min="12535" max="12535" width="11.42578125" hidden="1" customWidth="1"/>
    <col min="12536" max="12536" width="7.42578125" customWidth="1"/>
    <col min="12537" max="12537" width="12.5703125" customWidth="1"/>
    <col min="12538" max="12538" width="14.28515625" customWidth="1"/>
    <col min="12539" max="12539" width="11.7109375" customWidth="1"/>
    <col min="12540" max="12540" width="9.7109375" customWidth="1"/>
    <col min="12541" max="12541" width="9" customWidth="1"/>
    <col min="12542" max="12542" width="10.7109375" customWidth="1"/>
    <col min="12543" max="12543" width="15.28515625" customWidth="1"/>
    <col min="12544" max="12544" width="16.7109375" customWidth="1"/>
    <col min="12545" max="12555" width="11.42578125" hidden="1" customWidth="1"/>
    <col min="12556" max="12556" width="7.5703125" customWidth="1"/>
    <col min="12557" max="12557" width="11.42578125" hidden="1" customWidth="1"/>
    <col min="12558" max="12561" width="7.7109375" customWidth="1"/>
    <col min="12787" max="12789" width="3.85546875" customWidth="1"/>
    <col min="12790" max="12790" width="5.5703125" customWidth="1"/>
    <col min="12791" max="12791" width="11.42578125" hidden="1" customWidth="1"/>
    <col min="12792" max="12792" width="7.42578125" customWidth="1"/>
    <col min="12793" max="12793" width="12.5703125" customWidth="1"/>
    <col min="12794" max="12794" width="14.28515625" customWidth="1"/>
    <col min="12795" max="12795" width="11.7109375" customWidth="1"/>
    <col min="12796" max="12796" width="9.7109375" customWidth="1"/>
    <col min="12797" max="12797" width="9" customWidth="1"/>
    <col min="12798" max="12798" width="10.7109375" customWidth="1"/>
    <col min="12799" max="12799" width="15.28515625" customWidth="1"/>
    <col min="12800" max="12800" width="16.7109375" customWidth="1"/>
    <col min="12801" max="12811" width="11.42578125" hidden="1" customWidth="1"/>
    <col min="12812" max="12812" width="7.5703125" customWidth="1"/>
    <col min="12813" max="12813" width="11.42578125" hidden="1" customWidth="1"/>
    <col min="12814" max="12817" width="7.7109375" customWidth="1"/>
    <col min="13043" max="13045" width="3.85546875" customWidth="1"/>
    <col min="13046" max="13046" width="5.5703125" customWidth="1"/>
    <col min="13047" max="13047" width="11.42578125" hidden="1" customWidth="1"/>
    <col min="13048" max="13048" width="7.42578125" customWidth="1"/>
    <col min="13049" max="13049" width="12.5703125" customWidth="1"/>
    <col min="13050" max="13050" width="14.28515625" customWidth="1"/>
    <col min="13051" max="13051" width="11.7109375" customWidth="1"/>
    <col min="13052" max="13052" width="9.7109375" customWidth="1"/>
    <col min="13053" max="13053" width="9" customWidth="1"/>
    <col min="13054" max="13054" width="10.7109375" customWidth="1"/>
    <col min="13055" max="13055" width="15.28515625" customWidth="1"/>
    <col min="13056" max="13056" width="16.7109375" customWidth="1"/>
    <col min="13057" max="13067" width="11.42578125" hidden="1" customWidth="1"/>
    <col min="13068" max="13068" width="7.5703125" customWidth="1"/>
    <col min="13069" max="13069" width="11.42578125" hidden="1" customWidth="1"/>
    <col min="13070" max="13073" width="7.7109375" customWidth="1"/>
    <col min="13299" max="13301" width="3.85546875" customWidth="1"/>
    <col min="13302" max="13302" width="5.5703125" customWidth="1"/>
    <col min="13303" max="13303" width="11.42578125" hidden="1" customWidth="1"/>
    <col min="13304" max="13304" width="7.42578125" customWidth="1"/>
    <col min="13305" max="13305" width="12.5703125" customWidth="1"/>
    <col min="13306" max="13306" width="14.28515625" customWidth="1"/>
    <col min="13307" max="13307" width="11.7109375" customWidth="1"/>
    <col min="13308" max="13308" width="9.7109375" customWidth="1"/>
    <col min="13309" max="13309" width="9" customWidth="1"/>
    <col min="13310" max="13310" width="10.7109375" customWidth="1"/>
    <col min="13311" max="13311" width="15.28515625" customWidth="1"/>
    <col min="13312" max="13312" width="16.7109375" customWidth="1"/>
    <col min="13313" max="13323" width="11.42578125" hidden="1" customWidth="1"/>
    <col min="13324" max="13324" width="7.5703125" customWidth="1"/>
    <col min="13325" max="13325" width="11.42578125" hidden="1" customWidth="1"/>
    <col min="13326" max="13329" width="7.7109375" customWidth="1"/>
    <col min="13555" max="13557" width="3.85546875" customWidth="1"/>
    <col min="13558" max="13558" width="5.5703125" customWidth="1"/>
    <col min="13559" max="13559" width="11.42578125" hidden="1" customWidth="1"/>
    <col min="13560" max="13560" width="7.42578125" customWidth="1"/>
    <col min="13561" max="13561" width="12.5703125" customWidth="1"/>
    <col min="13562" max="13562" width="14.28515625" customWidth="1"/>
    <col min="13563" max="13563" width="11.7109375" customWidth="1"/>
    <col min="13564" max="13564" width="9.7109375" customWidth="1"/>
    <col min="13565" max="13565" width="9" customWidth="1"/>
    <col min="13566" max="13566" width="10.7109375" customWidth="1"/>
    <col min="13567" max="13567" width="15.28515625" customWidth="1"/>
    <col min="13568" max="13568" width="16.7109375" customWidth="1"/>
    <col min="13569" max="13579" width="11.42578125" hidden="1" customWidth="1"/>
    <col min="13580" max="13580" width="7.5703125" customWidth="1"/>
    <col min="13581" max="13581" width="11.42578125" hidden="1" customWidth="1"/>
    <col min="13582" max="13585" width="7.7109375" customWidth="1"/>
    <col min="13811" max="13813" width="3.85546875" customWidth="1"/>
    <col min="13814" max="13814" width="5.5703125" customWidth="1"/>
    <col min="13815" max="13815" width="11.42578125" hidden="1" customWidth="1"/>
    <col min="13816" max="13816" width="7.42578125" customWidth="1"/>
    <col min="13817" max="13817" width="12.5703125" customWidth="1"/>
    <col min="13818" max="13818" width="14.28515625" customWidth="1"/>
    <col min="13819" max="13819" width="11.7109375" customWidth="1"/>
    <col min="13820" max="13820" width="9.7109375" customWidth="1"/>
    <col min="13821" max="13821" width="9" customWidth="1"/>
    <col min="13822" max="13822" width="10.7109375" customWidth="1"/>
    <col min="13823" max="13823" width="15.28515625" customWidth="1"/>
    <col min="13824" max="13824" width="16.7109375" customWidth="1"/>
    <col min="13825" max="13835" width="11.42578125" hidden="1" customWidth="1"/>
    <col min="13836" max="13836" width="7.5703125" customWidth="1"/>
    <col min="13837" max="13837" width="11.42578125" hidden="1" customWidth="1"/>
    <col min="13838" max="13841" width="7.7109375" customWidth="1"/>
    <col min="14067" max="14069" width="3.85546875" customWidth="1"/>
    <col min="14070" max="14070" width="5.5703125" customWidth="1"/>
    <col min="14071" max="14071" width="11.42578125" hidden="1" customWidth="1"/>
    <col min="14072" max="14072" width="7.42578125" customWidth="1"/>
    <col min="14073" max="14073" width="12.5703125" customWidth="1"/>
    <col min="14074" max="14074" width="14.28515625" customWidth="1"/>
    <col min="14075" max="14075" width="11.7109375" customWidth="1"/>
    <col min="14076" max="14076" width="9.7109375" customWidth="1"/>
    <col min="14077" max="14077" width="9" customWidth="1"/>
    <col min="14078" max="14078" width="10.7109375" customWidth="1"/>
    <col min="14079" max="14079" width="15.28515625" customWidth="1"/>
    <col min="14080" max="14080" width="16.7109375" customWidth="1"/>
    <col min="14081" max="14091" width="11.42578125" hidden="1" customWidth="1"/>
    <col min="14092" max="14092" width="7.5703125" customWidth="1"/>
    <col min="14093" max="14093" width="11.42578125" hidden="1" customWidth="1"/>
    <col min="14094" max="14097" width="7.7109375" customWidth="1"/>
    <col min="14323" max="14325" width="3.85546875" customWidth="1"/>
    <col min="14326" max="14326" width="5.5703125" customWidth="1"/>
    <col min="14327" max="14327" width="11.42578125" hidden="1" customWidth="1"/>
    <col min="14328" max="14328" width="7.42578125" customWidth="1"/>
    <col min="14329" max="14329" width="12.5703125" customWidth="1"/>
    <col min="14330" max="14330" width="14.28515625" customWidth="1"/>
    <col min="14331" max="14331" width="11.7109375" customWidth="1"/>
    <col min="14332" max="14332" width="9.7109375" customWidth="1"/>
    <col min="14333" max="14333" width="9" customWidth="1"/>
    <col min="14334" max="14334" width="10.7109375" customWidth="1"/>
    <col min="14335" max="14335" width="15.28515625" customWidth="1"/>
    <col min="14336" max="14336" width="16.7109375" customWidth="1"/>
    <col min="14337" max="14347" width="11.42578125" hidden="1" customWidth="1"/>
    <col min="14348" max="14348" width="7.5703125" customWidth="1"/>
    <col min="14349" max="14349" width="11.42578125" hidden="1" customWidth="1"/>
    <col min="14350" max="14353" width="7.7109375" customWidth="1"/>
    <col min="14579" max="14581" width="3.85546875" customWidth="1"/>
    <col min="14582" max="14582" width="5.5703125" customWidth="1"/>
    <col min="14583" max="14583" width="11.42578125" hidden="1" customWidth="1"/>
    <col min="14584" max="14584" width="7.42578125" customWidth="1"/>
    <col min="14585" max="14585" width="12.5703125" customWidth="1"/>
    <col min="14586" max="14586" width="14.28515625" customWidth="1"/>
    <col min="14587" max="14587" width="11.7109375" customWidth="1"/>
    <col min="14588" max="14588" width="9.7109375" customWidth="1"/>
    <col min="14589" max="14589" width="9" customWidth="1"/>
    <col min="14590" max="14590" width="10.7109375" customWidth="1"/>
    <col min="14591" max="14591" width="15.28515625" customWidth="1"/>
    <col min="14592" max="14592" width="16.7109375" customWidth="1"/>
    <col min="14593" max="14603" width="11.42578125" hidden="1" customWidth="1"/>
    <col min="14604" max="14604" width="7.5703125" customWidth="1"/>
    <col min="14605" max="14605" width="11.42578125" hidden="1" customWidth="1"/>
    <col min="14606" max="14609" width="7.7109375" customWidth="1"/>
    <col min="14835" max="14837" width="3.85546875" customWidth="1"/>
    <col min="14838" max="14838" width="5.5703125" customWidth="1"/>
    <col min="14839" max="14839" width="11.42578125" hidden="1" customWidth="1"/>
    <col min="14840" max="14840" width="7.42578125" customWidth="1"/>
    <col min="14841" max="14841" width="12.5703125" customWidth="1"/>
    <col min="14842" max="14842" width="14.28515625" customWidth="1"/>
    <col min="14843" max="14843" width="11.7109375" customWidth="1"/>
    <col min="14844" max="14844" width="9.7109375" customWidth="1"/>
    <col min="14845" max="14845" width="9" customWidth="1"/>
    <col min="14846" max="14846" width="10.7109375" customWidth="1"/>
    <col min="14847" max="14847" width="15.28515625" customWidth="1"/>
    <col min="14848" max="14848" width="16.7109375" customWidth="1"/>
    <col min="14849" max="14859" width="11.42578125" hidden="1" customWidth="1"/>
    <col min="14860" max="14860" width="7.5703125" customWidth="1"/>
    <col min="14861" max="14861" width="11.42578125" hidden="1" customWidth="1"/>
    <col min="14862" max="14865" width="7.7109375" customWidth="1"/>
    <col min="15091" max="15093" width="3.85546875" customWidth="1"/>
    <col min="15094" max="15094" width="5.5703125" customWidth="1"/>
    <col min="15095" max="15095" width="11.42578125" hidden="1" customWidth="1"/>
    <col min="15096" max="15096" width="7.42578125" customWidth="1"/>
    <col min="15097" max="15097" width="12.5703125" customWidth="1"/>
    <col min="15098" max="15098" width="14.28515625" customWidth="1"/>
    <col min="15099" max="15099" width="11.7109375" customWidth="1"/>
    <col min="15100" max="15100" width="9.7109375" customWidth="1"/>
    <col min="15101" max="15101" width="9" customWidth="1"/>
    <col min="15102" max="15102" width="10.7109375" customWidth="1"/>
    <col min="15103" max="15103" width="15.28515625" customWidth="1"/>
    <col min="15104" max="15104" width="16.7109375" customWidth="1"/>
    <col min="15105" max="15115" width="11.42578125" hidden="1" customWidth="1"/>
    <col min="15116" max="15116" width="7.5703125" customWidth="1"/>
    <col min="15117" max="15117" width="11.42578125" hidden="1" customWidth="1"/>
    <col min="15118" max="15121" width="7.7109375" customWidth="1"/>
    <col min="15347" max="15349" width="3.85546875" customWidth="1"/>
    <col min="15350" max="15350" width="5.5703125" customWidth="1"/>
    <col min="15351" max="15351" width="11.42578125" hidden="1" customWidth="1"/>
    <col min="15352" max="15352" width="7.42578125" customWidth="1"/>
    <col min="15353" max="15353" width="12.5703125" customWidth="1"/>
    <col min="15354" max="15354" width="14.28515625" customWidth="1"/>
    <col min="15355" max="15355" width="11.7109375" customWidth="1"/>
    <col min="15356" max="15356" width="9.7109375" customWidth="1"/>
    <col min="15357" max="15357" width="9" customWidth="1"/>
    <col min="15358" max="15358" width="10.7109375" customWidth="1"/>
    <col min="15359" max="15359" width="15.28515625" customWidth="1"/>
    <col min="15360" max="15360" width="16.7109375" customWidth="1"/>
    <col min="15361" max="15371" width="11.42578125" hidden="1" customWidth="1"/>
    <col min="15372" max="15372" width="7.5703125" customWidth="1"/>
    <col min="15373" max="15373" width="11.42578125" hidden="1" customWidth="1"/>
    <col min="15374" max="15377" width="7.7109375" customWidth="1"/>
    <col min="15603" max="15605" width="3.85546875" customWidth="1"/>
    <col min="15606" max="15606" width="5.5703125" customWidth="1"/>
    <col min="15607" max="15607" width="11.42578125" hidden="1" customWidth="1"/>
    <col min="15608" max="15608" width="7.42578125" customWidth="1"/>
    <col min="15609" max="15609" width="12.5703125" customWidth="1"/>
    <col min="15610" max="15610" width="14.28515625" customWidth="1"/>
    <col min="15611" max="15611" width="11.7109375" customWidth="1"/>
    <col min="15612" max="15612" width="9.7109375" customWidth="1"/>
    <col min="15613" max="15613" width="9" customWidth="1"/>
    <col min="15614" max="15614" width="10.7109375" customWidth="1"/>
    <col min="15615" max="15615" width="15.28515625" customWidth="1"/>
    <col min="15616" max="15616" width="16.7109375" customWidth="1"/>
    <col min="15617" max="15627" width="11.42578125" hidden="1" customWidth="1"/>
    <col min="15628" max="15628" width="7.5703125" customWidth="1"/>
    <col min="15629" max="15629" width="11.42578125" hidden="1" customWidth="1"/>
    <col min="15630" max="15633" width="7.7109375" customWidth="1"/>
    <col min="15859" max="15861" width="3.85546875" customWidth="1"/>
    <col min="15862" max="15862" width="5.5703125" customWidth="1"/>
    <col min="15863" max="15863" width="11.42578125" hidden="1" customWidth="1"/>
    <col min="15864" max="15864" width="7.42578125" customWidth="1"/>
    <col min="15865" max="15865" width="12.5703125" customWidth="1"/>
    <col min="15866" max="15866" width="14.28515625" customWidth="1"/>
    <col min="15867" max="15867" width="11.7109375" customWidth="1"/>
    <col min="15868" max="15868" width="9.7109375" customWidth="1"/>
    <col min="15869" max="15869" width="9" customWidth="1"/>
    <col min="15870" max="15870" width="10.7109375" customWidth="1"/>
    <col min="15871" max="15871" width="15.28515625" customWidth="1"/>
    <col min="15872" max="15872" width="16.7109375" customWidth="1"/>
    <col min="15873" max="15883" width="11.42578125" hidden="1" customWidth="1"/>
    <col min="15884" max="15884" width="7.5703125" customWidth="1"/>
    <col min="15885" max="15885" width="11.42578125" hidden="1" customWidth="1"/>
    <col min="15886" max="15889" width="7.7109375" customWidth="1"/>
    <col min="16115" max="16117" width="3.85546875" customWidth="1"/>
    <col min="16118" max="16118" width="5.5703125" customWidth="1"/>
    <col min="16119" max="16119" width="11.42578125" hidden="1" customWidth="1"/>
    <col min="16120" max="16120" width="7.42578125" customWidth="1"/>
    <col min="16121" max="16121" width="12.5703125" customWidth="1"/>
    <col min="16122" max="16122" width="14.28515625" customWidth="1"/>
    <col min="16123" max="16123" width="11.7109375" customWidth="1"/>
    <col min="16124" max="16124" width="9.7109375" customWidth="1"/>
    <col min="16125" max="16125" width="9" customWidth="1"/>
    <col min="16126" max="16126" width="10.7109375" customWidth="1"/>
    <col min="16127" max="16127" width="15.28515625" customWidth="1"/>
    <col min="16128" max="16128" width="16.7109375" customWidth="1"/>
    <col min="16129" max="16139" width="11.42578125" hidden="1" customWidth="1"/>
    <col min="16140" max="16140" width="7.5703125" customWidth="1"/>
    <col min="16141" max="16141" width="11.42578125" hidden="1" customWidth="1"/>
    <col min="16142" max="16145" width="7.7109375" customWidth="1"/>
  </cols>
  <sheetData>
    <row r="2" spans="2:17" ht="16.5">
      <c r="B2" s="3" t="s">
        <v>49</v>
      </c>
      <c r="C2" s="2"/>
      <c r="D2" s="2"/>
      <c r="E2" s="2"/>
      <c r="F2" s="2"/>
      <c r="G2" s="2"/>
      <c r="H2" s="2"/>
      <c r="I2" s="2"/>
      <c r="J2" s="2"/>
      <c r="K2" s="2"/>
      <c r="L2" s="2"/>
      <c r="M2" s="2"/>
      <c r="N2" s="2"/>
      <c r="O2" s="2"/>
      <c r="P2" s="2"/>
      <c r="Q2" s="2"/>
    </row>
    <row r="3" spans="2:17" ht="16.5">
      <c r="B3" s="2"/>
      <c r="C3" s="2"/>
      <c r="D3" s="2"/>
      <c r="E3" s="2"/>
      <c r="F3" s="2"/>
      <c r="G3" s="2"/>
      <c r="H3" s="2"/>
      <c r="I3" s="2"/>
      <c r="J3" s="2"/>
      <c r="K3" s="2"/>
      <c r="L3" s="2"/>
      <c r="M3" s="2"/>
      <c r="N3" s="2"/>
      <c r="O3" s="2"/>
      <c r="P3" s="2"/>
      <c r="Q3" s="2"/>
    </row>
    <row r="4" spans="2:17" ht="20.25">
      <c r="B4" s="417" t="s">
        <v>50</v>
      </c>
      <c r="C4" s="417"/>
      <c r="D4" s="417"/>
      <c r="E4" s="417"/>
      <c r="F4" s="417"/>
      <c r="G4" s="417"/>
      <c r="H4" s="417"/>
      <c r="I4" s="417"/>
      <c r="J4" s="417"/>
      <c r="K4" s="417"/>
      <c r="L4" s="417"/>
      <c r="M4" s="417"/>
      <c r="N4" s="417"/>
      <c r="O4" s="417"/>
      <c r="P4" s="417"/>
      <c r="Q4" s="417"/>
    </row>
    <row r="5" spans="2:17" ht="20.25">
      <c r="B5" s="200"/>
      <c r="C5" s="200"/>
      <c r="D5" s="200"/>
      <c r="E5" s="200"/>
      <c r="F5" s="200"/>
      <c r="G5" s="200"/>
      <c r="H5" s="200"/>
      <c r="I5" s="200"/>
      <c r="J5" s="200"/>
      <c r="K5" s="200"/>
      <c r="L5" s="200"/>
      <c r="M5" s="200"/>
      <c r="N5" s="200"/>
      <c r="O5" s="200"/>
      <c r="P5" s="200"/>
      <c r="Q5" s="200"/>
    </row>
    <row r="6" spans="2:17" ht="16.5">
      <c r="B6" s="352" t="s">
        <v>422</v>
      </c>
      <c r="C6" s="126"/>
      <c r="D6" s="126"/>
      <c r="E6" s="127"/>
      <c r="F6" s="2"/>
      <c r="G6" s="2"/>
      <c r="H6" s="2"/>
      <c r="I6" s="2"/>
      <c r="J6" s="2"/>
      <c r="K6" s="2"/>
      <c r="L6" s="2"/>
      <c r="M6" s="2"/>
      <c r="N6" s="2"/>
      <c r="O6" s="2"/>
      <c r="P6" s="2"/>
      <c r="Q6" s="2"/>
    </row>
    <row r="7" spans="2:17" ht="16.5">
      <c r="B7" s="352" t="s">
        <v>396</v>
      </c>
      <c r="C7" s="126"/>
      <c r="D7" s="126"/>
      <c r="E7" s="127"/>
      <c r="F7" s="2"/>
      <c r="G7" s="2"/>
      <c r="H7" s="2"/>
      <c r="I7" s="2"/>
      <c r="J7" s="2"/>
      <c r="K7" s="2"/>
      <c r="L7" s="2"/>
      <c r="M7" s="2"/>
      <c r="N7" s="2"/>
      <c r="O7" s="2"/>
      <c r="P7" s="2"/>
      <c r="Q7" s="2"/>
    </row>
    <row r="8" spans="2:17" ht="13.5" customHeight="1">
      <c r="B8" s="2"/>
      <c r="C8" s="2"/>
      <c r="D8" s="2"/>
      <c r="E8" s="2"/>
      <c r="F8" s="2"/>
      <c r="G8" s="2"/>
      <c r="H8" s="2"/>
      <c r="I8" s="2"/>
      <c r="J8" s="2"/>
      <c r="K8" s="2"/>
      <c r="L8" s="2"/>
      <c r="M8" s="2"/>
      <c r="N8" s="2"/>
      <c r="O8" s="2"/>
      <c r="P8" s="2"/>
      <c r="Q8" s="2"/>
    </row>
    <row r="9" spans="2:17" ht="37.5" customHeight="1">
      <c r="B9" s="418" t="s">
        <v>423</v>
      </c>
      <c r="C9" s="419"/>
      <c r="D9" s="420"/>
      <c r="E9" s="421" t="s">
        <v>52</v>
      </c>
      <c r="F9" s="422"/>
      <c r="G9" s="423"/>
      <c r="H9" s="424" t="s">
        <v>6</v>
      </c>
      <c r="I9" s="424"/>
      <c r="J9" s="424"/>
      <c r="K9" s="424"/>
      <c r="L9" s="424"/>
      <c r="M9" s="424"/>
      <c r="N9" s="421" t="s">
        <v>53</v>
      </c>
      <c r="O9" s="422"/>
      <c r="P9" s="422"/>
      <c r="Q9" s="425"/>
    </row>
    <row r="10" spans="2:17" ht="42" customHeight="1">
      <c r="B10" s="225" t="s">
        <v>54</v>
      </c>
      <c r="C10" s="297" t="s">
        <v>11</v>
      </c>
      <c r="D10" s="212" t="s">
        <v>12</v>
      </c>
      <c r="E10" s="297" t="s">
        <v>54</v>
      </c>
      <c r="F10" s="297" t="s">
        <v>11</v>
      </c>
      <c r="G10" s="18" t="s">
        <v>55</v>
      </c>
      <c r="H10" s="298" t="s">
        <v>13</v>
      </c>
      <c r="I10" s="298" t="s">
        <v>14</v>
      </c>
      <c r="J10" s="19" t="s">
        <v>15</v>
      </c>
      <c r="K10" s="19" t="s">
        <v>56</v>
      </c>
      <c r="L10" s="19" t="s">
        <v>57</v>
      </c>
      <c r="M10" s="298" t="s">
        <v>58</v>
      </c>
      <c r="N10" s="245" t="s">
        <v>59</v>
      </c>
      <c r="O10" s="245" t="s">
        <v>60</v>
      </c>
      <c r="P10" s="245" t="s">
        <v>61</v>
      </c>
      <c r="Q10" s="317" t="s">
        <v>62</v>
      </c>
    </row>
    <row r="11" spans="2:17" s="296" customFormat="1" ht="75" customHeight="1">
      <c r="B11" s="293" t="s">
        <v>63</v>
      </c>
      <c r="C11" s="299" t="s">
        <v>64</v>
      </c>
      <c r="D11" s="300" t="s">
        <v>23</v>
      </c>
      <c r="E11" s="293" t="s">
        <v>65</v>
      </c>
      <c r="F11" s="301" t="s">
        <v>420</v>
      </c>
      <c r="G11" s="301" t="s">
        <v>424</v>
      </c>
      <c r="H11" s="295" t="s">
        <v>427</v>
      </c>
      <c r="I11" s="299" t="s">
        <v>25</v>
      </c>
      <c r="J11" s="291" t="s">
        <v>430</v>
      </c>
      <c r="K11" s="310">
        <v>0.154</v>
      </c>
      <c r="L11" s="311">
        <v>0.18</v>
      </c>
      <c r="M11" s="312">
        <v>1</v>
      </c>
      <c r="N11" s="313">
        <v>0.25</v>
      </c>
      <c r="O11" s="313">
        <v>0.25</v>
      </c>
      <c r="P11" s="313">
        <v>0.25</v>
      </c>
      <c r="Q11" s="313">
        <v>0.25</v>
      </c>
    </row>
    <row r="12" spans="2:17" s="121" customFormat="1" ht="96.95" customHeight="1">
      <c r="B12" s="294" t="s">
        <v>68</v>
      </c>
      <c r="C12" s="299" t="s">
        <v>27</v>
      </c>
      <c r="D12" s="300" t="s">
        <v>28</v>
      </c>
      <c r="E12" s="293" t="s">
        <v>69</v>
      </c>
      <c r="F12" s="301" t="s">
        <v>440</v>
      </c>
      <c r="G12" s="301" t="s">
        <v>441</v>
      </c>
      <c r="H12" s="295" t="s">
        <v>426</v>
      </c>
      <c r="I12" s="302" t="s">
        <v>25</v>
      </c>
      <c r="J12" s="295" t="s">
        <v>429</v>
      </c>
      <c r="K12" s="310">
        <v>0.2336</v>
      </c>
      <c r="L12" s="311">
        <v>0.28000000000000003</v>
      </c>
      <c r="M12" s="312">
        <v>1</v>
      </c>
      <c r="N12" s="314">
        <v>0.25</v>
      </c>
      <c r="O12" s="314">
        <v>0.25</v>
      </c>
      <c r="P12" s="314">
        <v>0.25</v>
      </c>
      <c r="Q12" s="314">
        <v>0.25</v>
      </c>
    </row>
    <row r="13" spans="2:17" s="296" customFormat="1" ht="107.1" customHeight="1">
      <c r="B13" s="294" t="s">
        <v>73</v>
      </c>
      <c r="C13" s="299" t="s">
        <v>31</v>
      </c>
      <c r="D13" s="300" t="s">
        <v>32</v>
      </c>
      <c r="E13" s="293" t="s">
        <v>74</v>
      </c>
      <c r="F13" s="295" t="s">
        <v>506</v>
      </c>
      <c r="G13" s="301" t="s">
        <v>507</v>
      </c>
      <c r="H13" s="295" t="s">
        <v>431</v>
      </c>
      <c r="I13" s="299" t="s">
        <v>25</v>
      </c>
      <c r="J13" s="295" t="s">
        <v>428</v>
      </c>
      <c r="K13" s="310">
        <v>5.2999999999999999E-2</v>
      </c>
      <c r="L13" s="311">
        <v>0.05</v>
      </c>
      <c r="M13" s="312">
        <v>1</v>
      </c>
      <c r="N13" s="314"/>
      <c r="O13" s="314"/>
      <c r="P13" s="314"/>
      <c r="Q13" s="314"/>
    </row>
    <row r="14" spans="2:17" s="121" customFormat="1" ht="102">
      <c r="B14" s="294" t="s">
        <v>77</v>
      </c>
      <c r="C14" s="303" t="s">
        <v>35</v>
      </c>
      <c r="D14" s="304" t="s">
        <v>36</v>
      </c>
      <c r="E14" s="293" t="s">
        <v>78</v>
      </c>
      <c r="F14" s="291" t="s">
        <v>421</v>
      </c>
      <c r="G14" s="301" t="s">
        <v>425</v>
      </c>
      <c r="H14" s="295" t="s">
        <v>432</v>
      </c>
      <c r="I14" s="299" t="s">
        <v>25</v>
      </c>
      <c r="J14" s="295" t="s">
        <v>433</v>
      </c>
      <c r="K14" s="315">
        <v>8</v>
      </c>
      <c r="L14" s="316">
        <v>10</v>
      </c>
      <c r="M14" s="312">
        <v>1</v>
      </c>
      <c r="N14" s="314">
        <v>0.25</v>
      </c>
      <c r="O14" s="314">
        <v>0.25</v>
      </c>
      <c r="P14" s="314">
        <v>0.25</v>
      </c>
      <c r="Q14" s="314">
        <v>0.25</v>
      </c>
    </row>
    <row r="15" spans="2:17" s="121" customFormat="1" ht="13.5" hidden="1" customHeight="1">
      <c r="B15" s="305"/>
      <c r="C15" s="305"/>
      <c r="D15" s="238"/>
      <c r="E15" s="238"/>
      <c r="F15" s="238"/>
      <c r="G15" s="238"/>
      <c r="H15" s="238"/>
      <c r="I15" s="238"/>
      <c r="J15" s="238"/>
      <c r="K15" s="238"/>
      <c r="L15" s="238"/>
      <c r="M15" s="238"/>
      <c r="N15" s="238"/>
      <c r="O15" s="176"/>
      <c r="P15" s="176"/>
      <c r="Q15" s="176"/>
    </row>
    <row r="16" spans="2:17" s="121" customFormat="1" ht="13.5" hidden="1">
      <c r="B16" s="306"/>
      <c r="C16" s="306"/>
      <c r="D16" s="175"/>
      <c r="E16" s="175"/>
      <c r="F16" s="175"/>
      <c r="G16" s="175"/>
      <c r="H16" s="175"/>
      <c r="I16" s="175"/>
      <c r="J16" s="175"/>
      <c r="K16" s="175"/>
      <c r="L16" s="175"/>
      <c r="M16" s="175"/>
      <c r="N16" s="175"/>
      <c r="O16" s="176"/>
      <c r="P16" s="176"/>
      <c r="Q16" s="176"/>
    </row>
    <row r="17" spans="2:17" s="121" customFormat="1" ht="13.5" hidden="1">
      <c r="B17" s="306"/>
      <c r="C17" s="306"/>
      <c r="D17" s="175"/>
      <c r="E17" s="175"/>
      <c r="F17" s="175"/>
      <c r="G17" s="175"/>
      <c r="H17" s="175"/>
      <c r="I17" s="175"/>
      <c r="J17" s="175"/>
      <c r="K17" s="175"/>
      <c r="L17" s="175"/>
      <c r="M17" s="175"/>
      <c r="N17" s="175"/>
      <c r="O17" s="176"/>
      <c r="P17" s="176"/>
      <c r="Q17" s="176"/>
    </row>
    <row r="18" spans="2:17" s="121" customFormat="1" ht="13.5" hidden="1">
      <c r="B18" s="306"/>
      <c r="C18" s="306"/>
      <c r="D18" s="175"/>
      <c r="E18" s="175"/>
      <c r="F18" s="175"/>
      <c r="G18" s="175"/>
      <c r="H18" s="175"/>
      <c r="I18" s="175"/>
      <c r="J18" s="175"/>
      <c r="K18" s="175"/>
      <c r="L18" s="175"/>
      <c r="M18" s="175"/>
      <c r="N18" s="175"/>
      <c r="O18" s="176"/>
      <c r="P18" s="176"/>
      <c r="Q18" s="176"/>
    </row>
    <row r="19" spans="2:17">
      <c r="B19" s="176"/>
      <c r="C19" s="176"/>
      <c r="D19" s="176"/>
      <c r="E19" s="176"/>
      <c r="F19" s="176"/>
      <c r="G19" s="176"/>
      <c r="H19" s="176"/>
      <c r="I19" s="176"/>
      <c r="J19" s="176"/>
      <c r="K19" s="176"/>
      <c r="L19" s="176"/>
      <c r="M19" s="176"/>
      <c r="N19" s="176"/>
      <c r="O19" s="176"/>
      <c r="P19" s="176"/>
      <c r="Q19" s="176"/>
    </row>
    <row r="20" spans="2:17">
      <c r="B20" s="307"/>
      <c r="C20" s="176"/>
      <c r="D20" s="176"/>
      <c r="E20" s="176"/>
      <c r="F20" s="176"/>
      <c r="G20" s="176"/>
      <c r="H20" s="176"/>
      <c r="I20" s="176"/>
      <c r="J20" s="176"/>
      <c r="K20" s="176"/>
      <c r="L20" s="176"/>
      <c r="M20" s="176"/>
      <c r="N20" s="176"/>
      <c r="O20" s="176"/>
      <c r="P20" s="176"/>
      <c r="Q20" s="176"/>
    </row>
    <row r="21" spans="2:17">
      <c r="B21" s="426" t="s">
        <v>40</v>
      </c>
      <c r="C21" s="427"/>
      <c r="D21" s="427"/>
      <c r="E21" s="427"/>
      <c r="F21" s="428" t="s">
        <v>41</v>
      </c>
      <c r="G21" s="427"/>
      <c r="H21" s="427"/>
      <c r="I21" s="427"/>
      <c r="J21" s="427"/>
      <c r="K21" s="427"/>
      <c r="L21" s="427"/>
      <c r="M21" s="427"/>
      <c r="N21" s="429"/>
      <c r="O21" s="427" t="s">
        <v>42</v>
      </c>
      <c r="P21" s="427"/>
      <c r="Q21" s="430"/>
    </row>
    <row r="22" spans="2:17" ht="60.95" customHeight="1">
      <c r="B22" s="431" t="s">
        <v>43</v>
      </c>
      <c r="C22" s="432"/>
      <c r="D22" s="432"/>
      <c r="E22" s="432"/>
      <c r="F22" s="433"/>
      <c r="G22" s="434"/>
      <c r="H22" s="434"/>
      <c r="I22" s="434"/>
      <c r="J22" s="434"/>
      <c r="K22" s="434"/>
      <c r="L22" s="434"/>
      <c r="M22" s="434"/>
      <c r="N22" s="435"/>
      <c r="O22" s="434"/>
      <c r="P22" s="434"/>
      <c r="Q22" s="435"/>
    </row>
    <row r="23" spans="2:17" ht="62.1" customHeight="1">
      <c r="B23" s="431" t="s">
        <v>44</v>
      </c>
      <c r="C23" s="432"/>
      <c r="D23" s="432"/>
      <c r="E23" s="432"/>
      <c r="F23" s="433"/>
      <c r="G23" s="434"/>
      <c r="H23" s="434"/>
      <c r="I23" s="434"/>
      <c r="J23" s="434"/>
      <c r="K23" s="434"/>
      <c r="L23" s="434"/>
      <c r="M23" s="434"/>
      <c r="N23" s="435"/>
      <c r="O23" s="434"/>
      <c r="P23" s="434"/>
      <c r="Q23" s="435"/>
    </row>
    <row r="24" spans="2:17" ht="60" customHeight="1">
      <c r="B24" s="431" t="s">
        <v>45</v>
      </c>
      <c r="C24" s="432"/>
      <c r="D24" s="432"/>
      <c r="E24" s="432"/>
      <c r="F24" s="433"/>
      <c r="G24" s="434"/>
      <c r="H24" s="434"/>
      <c r="I24" s="434"/>
      <c r="J24" s="434"/>
      <c r="K24" s="434"/>
      <c r="L24" s="434"/>
      <c r="M24" s="434"/>
      <c r="N24" s="435"/>
      <c r="O24" s="434"/>
      <c r="P24" s="434"/>
      <c r="Q24" s="435"/>
    </row>
    <row r="25" spans="2:17" ht="60" customHeight="1">
      <c r="B25" s="431" t="s">
        <v>46</v>
      </c>
      <c r="C25" s="432"/>
      <c r="D25" s="432"/>
      <c r="E25" s="432"/>
      <c r="F25" s="433"/>
      <c r="G25" s="434"/>
      <c r="H25" s="434"/>
      <c r="I25" s="434"/>
      <c r="J25" s="434"/>
      <c r="K25" s="434"/>
      <c r="L25" s="434"/>
      <c r="M25" s="434"/>
      <c r="N25" s="435"/>
      <c r="O25" s="434"/>
      <c r="P25" s="434"/>
      <c r="Q25" s="435"/>
    </row>
    <row r="26" spans="2:17">
      <c r="B26" s="308"/>
      <c r="C26" s="308"/>
      <c r="D26" s="308"/>
      <c r="E26" s="308"/>
      <c r="F26" s="309"/>
      <c r="G26" s="309"/>
      <c r="H26" s="309"/>
      <c r="I26" s="309"/>
      <c r="J26" s="309"/>
      <c r="K26" s="309"/>
      <c r="L26" s="309"/>
      <c r="M26" s="309"/>
      <c r="N26" s="309"/>
      <c r="O26" s="223" t="s">
        <v>47</v>
      </c>
      <c r="P26" s="309"/>
      <c r="Q26" s="309"/>
    </row>
    <row r="27" spans="2:17" ht="16.5">
      <c r="B27" s="308" t="s">
        <v>81</v>
      </c>
      <c r="C27" s="2"/>
      <c r="D27" s="2"/>
      <c r="E27" s="2"/>
      <c r="F27" s="2"/>
      <c r="G27" s="2"/>
      <c r="H27" s="2"/>
      <c r="I27" s="2"/>
      <c r="J27" s="2"/>
      <c r="K27" s="2"/>
      <c r="L27" s="2"/>
      <c r="M27" s="2"/>
      <c r="N27" s="223"/>
      <c r="O27" s="2"/>
      <c r="P27" s="2"/>
      <c r="Q27" s="2"/>
    </row>
    <row r="28" spans="2:17" ht="16.5">
      <c r="B28" s="2"/>
      <c r="C28" s="2"/>
      <c r="D28" s="2"/>
      <c r="E28" s="2"/>
      <c r="F28" s="2"/>
      <c r="G28" s="2"/>
      <c r="H28" s="2"/>
      <c r="I28" s="2"/>
      <c r="J28" s="2"/>
      <c r="K28" s="2"/>
      <c r="L28" s="2"/>
      <c r="M28" s="2"/>
      <c r="N28" s="2"/>
      <c r="O28" s="2"/>
      <c r="P28" s="2"/>
      <c r="Q28" s="2"/>
    </row>
    <row r="29" spans="2:17" ht="16.5">
      <c r="B29" s="2"/>
      <c r="C29" s="2"/>
      <c r="D29" s="2"/>
      <c r="E29" s="2"/>
      <c r="F29" s="2"/>
      <c r="G29" s="2"/>
      <c r="H29" s="2"/>
      <c r="I29" s="2"/>
      <c r="J29" s="2"/>
      <c r="K29" s="2"/>
      <c r="L29" s="2"/>
      <c r="M29" s="2"/>
      <c r="N29" s="2"/>
      <c r="O29" s="2"/>
      <c r="P29" s="2"/>
      <c r="Q29" s="2"/>
    </row>
    <row r="30" spans="2:17" ht="16.5">
      <c r="B30" s="2"/>
      <c r="C30" s="2"/>
      <c r="D30" s="2"/>
      <c r="E30" s="2"/>
      <c r="F30" s="2"/>
      <c r="G30" s="2"/>
      <c r="H30" s="2"/>
      <c r="I30" s="2"/>
      <c r="J30" s="2"/>
      <c r="K30" s="2"/>
      <c r="L30" s="2"/>
      <c r="M30" s="2"/>
      <c r="N30" s="2"/>
      <c r="O30" s="2"/>
      <c r="P30" s="2"/>
      <c r="Q30" s="2"/>
    </row>
  </sheetData>
  <mergeCells count="20">
    <mergeCell ref="B25:E25"/>
    <mergeCell ref="F25:N25"/>
    <mergeCell ref="O25:Q25"/>
    <mergeCell ref="B23:E23"/>
    <mergeCell ref="F23:N23"/>
    <mergeCell ref="O23:Q23"/>
    <mergeCell ref="B24:E24"/>
    <mergeCell ref="F24:N24"/>
    <mergeCell ref="O24:Q24"/>
    <mergeCell ref="B21:E21"/>
    <mergeCell ref="F21:N21"/>
    <mergeCell ref="O21:Q21"/>
    <mergeCell ref="B22:E22"/>
    <mergeCell ref="F22:N22"/>
    <mergeCell ref="O22:Q22"/>
    <mergeCell ref="B4:Q4"/>
    <mergeCell ref="B9:D9"/>
    <mergeCell ref="E9:G9"/>
    <mergeCell ref="H9:M9"/>
    <mergeCell ref="N9:Q9"/>
  </mergeCells>
  <printOptions horizontalCentered="1"/>
  <pageMargins left="0.3" right="0.52" top="0.74803149606299202" bottom="0.74803149606299202" header="0.31496062992126" footer="0.31496062992126"/>
  <pageSetup scale="6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J8"/>
  <sheetViews>
    <sheetView zoomScale="87" zoomScaleNormal="87" workbookViewId="0">
      <selection activeCell="N4" sqref="N4"/>
    </sheetView>
  </sheetViews>
  <sheetFormatPr baseColWidth="10" defaultRowHeight="15"/>
  <cols>
    <col min="2" max="4" width="0" hidden="1" customWidth="1"/>
    <col min="5" max="5" width="7.7109375" customWidth="1"/>
    <col min="6" max="6" width="36" customWidth="1"/>
    <col min="7" max="7" width="40.85546875" customWidth="1"/>
    <col min="8" max="8" width="33.28515625" customWidth="1"/>
    <col min="9" max="9" width="0" hidden="1" customWidth="1"/>
    <col min="10" max="10" width="17.28515625" customWidth="1"/>
  </cols>
  <sheetData>
    <row r="2" spans="2:10" ht="28.5">
      <c r="B2" s="436"/>
      <c r="C2" s="436"/>
      <c r="D2" s="436"/>
      <c r="E2" s="436"/>
      <c r="F2" s="436"/>
      <c r="G2" s="436"/>
      <c r="H2" s="436"/>
      <c r="I2" s="436"/>
    </row>
    <row r="3" spans="2:10" ht="21">
      <c r="B3" s="437" t="s">
        <v>419</v>
      </c>
      <c r="C3" s="437"/>
      <c r="D3" s="437"/>
      <c r="E3" s="437"/>
      <c r="F3" s="437"/>
      <c r="G3" s="437"/>
      <c r="H3" s="437"/>
      <c r="I3" s="437"/>
    </row>
    <row r="4" spans="2:10" ht="29.25" customHeight="1">
      <c r="B4" s="362" t="s">
        <v>82</v>
      </c>
      <c r="C4" s="362" t="s">
        <v>83</v>
      </c>
      <c r="D4" s="362" t="s">
        <v>84</v>
      </c>
      <c r="E4" s="362" t="s">
        <v>436</v>
      </c>
      <c r="F4" s="362" t="s">
        <v>87</v>
      </c>
      <c r="G4" s="362" t="s">
        <v>88</v>
      </c>
      <c r="H4" s="362" t="s">
        <v>437</v>
      </c>
      <c r="I4" s="362" t="s">
        <v>85</v>
      </c>
      <c r="J4" s="730" t="s">
        <v>218</v>
      </c>
    </row>
    <row r="5" spans="2:10" ht="132.75" customHeight="1">
      <c r="B5" s="354" t="s">
        <v>63</v>
      </c>
      <c r="C5" s="355" t="s">
        <v>64</v>
      </c>
      <c r="D5" s="356" t="s">
        <v>24</v>
      </c>
      <c r="E5" s="365" t="s">
        <v>63</v>
      </c>
      <c r="F5" s="366" t="str">
        <f>'Form 1.2'!F11</f>
        <v>Fortalecer la gestión institucional mediante la mejora continua de los procesos, la modernización tecnológica, y el fortalecimiento de la transparencia institucional a nivel nacional en el año 2027.</v>
      </c>
      <c r="G5" s="367" t="str">
        <f>'Form 1.2'!G11</f>
        <v>Gestión institucional de la EPTAM modernizada, con procesos priorizados mejorados, herramientas digitales implementadas de forma progresiva, y mecanismos de transparencia y eficiencia institucional consolidados.</v>
      </c>
      <c r="H5" s="368" t="s">
        <v>438</v>
      </c>
      <c r="I5" s="365" t="s">
        <v>435</v>
      </c>
      <c r="J5" s="731" t="s">
        <v>588</v>
      </c>
    </row>
    <row r="6" spans="2:10" ht="141" customHeight="1">
      <c r="B6" s="358" t="s">
        <v>68</v>
      </c>
      <c r="C6" s="355" t="s">
        <v>27</v>
      </c>
      <c r="D6" s="359" t="s">
        <v>72</v>
      </c>
      <c r="E6" s="365" t="s">
        <v>442</v>
      </c>
      <c r="F6" s="366" t="str">
        <f>'Form 1.2'!F12</f>
        <v>Fortalecer la gestión financiera de la Empresa Pública Transporte Aéreo Militar mediante la administración eficiente de los recursos, contribuyendo a la sostenibilidad y al desarrollo empresarial en la gestión 2027</v>
      </c>
      <c r="G6" s="367" t="str">
        <f>'Form 1.2'!G12</f>
        <v>Gestión financiera fortalecida, con una administración eficiente y oportuna de los recursos institucionales.</v>
      </c>
      <c r="H6" s="368" t="s">
        <v>89</v>
      </c>
      <c r="I6" s="364" t="s">
        <v>89</v>
      </c>
      <c r="J6" s="732" t="s">
        <v>589</v>
      </c>
    </row>
    <row r="7" spans="2:10" ht="150.75" customHeight="1">
      <c r="B7" s="358" t="s">
        <v>73</v>
      </c>
      <c r="C7" s="355" t="s">
        <v>31</v>
      </c>
      <c r="D7" s="360" t="s">
        <v>76</v>
      </c>
      <c r="E7" s="365" t="s">
        <v>443</v>
      </c>
      <c r="F7" s="366" t="str">
        <f>'Form 1.2'!F13</f>
        <v>Incrementar la participación en el mercado de transporte aéreo de pasajeros, carga y correo, mediante la implementación de estrategias comerciales, a nivel nacional en el año 2027</v>
      </c>
      <c r="G7" s="367" t="str">
        <f>'Form 1.2'!G13</f>
        <v>Servicio de transporte aéreo de pasajeros, carga y correo prestado a nivel nacional, mediante la implementación de estrategias comerciales</v>
      </c>
      <c r="H7" s="368" t="s">
        <v>439</v>
      </c>
      <c r="I7" s="364" t="s">
        <v>90</v>
      </c>
      <c r="J7" s="732" t="s">
        <v>590</v>
      </c>
    </row>
    <row r="8" spans="2:10" ht="140.25" customHeight="1">
      <c r="B8" s="358" t="s">
        <v>77</v>
      </c>
      <c r="C8" s="361" t="s">
        <v>35</v>
      </c>
      <c r="D8" s="360" t="s">
        <v>80</v>
      </c>
      <c r="E8" s="365" t="s">
        <v>444</v>
      </c>
      <c r="F8" s="366" t="str">
        <f>'Form 1.2'!F14</f>
        <v>Gestionar la prestación segura, eficiente y continua de las operaciones aeronáuticas mediante la gestión integral de la flota aérea, la aeronavegabilidad continua y el cumplimiento de los estándares de seguridad operacional a nivel nacional en la gestión 2027</v>
      </c>
      <c r="G8" s="367" t="str">
        <f>'Form 1.2'!G14</f>
        <v>Flota operativa y aeronavegable, con seguridad operacional gestionada de forma permanente, para la prestación segura y eficiente de los servicios de transporte aéreo.</v>
      </c>
      <c r="H8" s="368" t="s">
        <v>434</v>
      </c>
      <c r="I8" s="365" t="s">
        <v>434</v>
      </c>
      <c r="J8" s="732" t="s">
        <v>591</v>
      </c>
    </row>
  </sheetData>
  <mergeCells count="2">
    <mergeCell ref="B2:I2"/>
    <mergeCell ref="B3:I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1048575"/>
  <sheetViews>
    <sheetView zoomScale="73" zoomScaleNormal="73" workbookViewId="0">
      <selection activeCell="I69" sqref="H69:I69"/>
    </sheetView>
  </sheetViews>
  <sheetFormatPr baseColWidth="10" defaultColWidth="9.140625" defaultRowHeight="67.150000000000006" customHeight="1"/>
  <cols>
    <col min="1" max="1" width="10.7109375" style="357" customWidth="1"/>
    <col min="2" max="3" width="24.7109375" style="357" customWidth="1"/>
    <col min="4" max="4" width="24.7109375" style="393" customWidth="1"/>
    <col min="5" max="8" width="24.7109375" style="357" customWidth="1"/>
    <col min="9" max="9" width="24.7109375" style="396" customWidth="1"/>
    <col min="10" max="10" width="24.7109375" style="393" customWidth="1"/>
    <col min="11" max="16384" width="9.140625" style="357"/>
  </cols>
  <sheetData>
    <row r="1" spans="2:10" ht="26.25" customHeight="1">
      <c r="D1" s="398"/>
      <c r="E1" s="363"/>
    </row>
    <row r="2" spans="2:10" ht="34.5" customHeight="1">
      <c r="B2" s="483" t="s">
        <v>108</v>
      </c>
      <c r="C2" s="483"/>
      <c r="D2" s="483"/>
      <c r="E2" s="483"/>
      <c r="F2" s="483"/>
      <c r="G2" s="483"/>
      <c r="H2" s="483"/>
      <c r="I2" s="483"/>
      <c r="J2" s="483"/>
    </row>
    <row r="3" spans="2:10" ht="21" customHeight="1">
      <c r="B3" s="483" t="s">
        <v>109</v>
      </c>
      <c r="C3" s="483"/>
      <c r="D3" s="483"/>
      <c r="E3" s="483"/>
      <c r="F3" s="483"/>
      <c r="G3" s="483"/>
      <c r="H3" s="483"/>
      <c r="I3" s="483"/>
      <c r="J3" s="483"/>
    </row>
    <row r="4" spans="2:10" ht="13.5" customHeight="1"/>
    <row r="5" spans="2:10" s="393" customFormat="1" ht="48" customHeight="1">
      <c r="B5" s="362" t="s">
        <v>92</v>
      </c>
      <c r="C5" s="362" t="s">
        <v>454</v>
      </c>
      <c r="D5" s="362" t="s">
        <v>455</v>
      </c>
      <c r="E5" s="362" t="s">
        <v>110</v>
      </c>
      <c r="F5" s="484" t="s">
        <v>112</v>
      </c>
      <c r="G5" s="484"/>
      <c r="H5" s="362" t="s">
        <v>113</v>
      </c>
      <c r="I5" s="394" t="s">
        <v>114</v>
      </c>
      <c r="J5" s="362" t="s">
        <v>115</v>
      </c>
    </row>
    <row r="6" spans="2:10" s="393" customFormat="1" ht="47.25" customHeight="1">
      <c r="B6" s="463">
        <v>1</v>
      </c>
      <c r="C6" s="461" t="str">
        <f>'Form 1.2'!F11</f>
        <v>Fortalecer la gestión institucional mediante la mejora continua de los procesos, la modernización tecnológica, y el fortalecimiento de la transparencia institucional a nivel nacional en el año 2027.</v>
      </c>
      <c r="D6" s="465" t="s">
        <v>67</v>
      </c>
      <c r="E6" s="472" t="s">
        <v>456</v>
      </c>
      <c r="F6" s="740">
        <v>46388</v>
      </c>
      <c r="G6" s="736">
        <v>46752</v>
      </c>
      <c r="H6" s="463" t="s">
        <v>462</v>
      </c>
      <c r="I6" s="711" t="s">
        <v>457</v>
      </c>
      <c r="J6" s="462" t="s">
        <v>98</v>
      </c>
    </row>
    <row r="7" spans="2:10" s="393" customFormat="1" ht="53.25" customHeight="1">
      <c r="B7" s="464"/>
      <c r="C7" s="461"/>
      <c r="D7" s="465"/>
      <c r="E7" s="473"/>
      <c r="F7" s="741"/>
      <c r="G7" s="743"/>
      <c r="H7" s="464"/>
      <c r="I7" s="712" t="s">
        <v>458</v>
      </c>
      <c r="J7" s="462"/>
    </row>
    <row r="8" spans="2:10" s="393" customFormat="1" ht="46.5" customHeight="1">
      <c r="B8" s="464"/>
      <c r="C8" s="461"/>
      <c r="D8" s="465"/>
      <c r="E8" s="473"/>
      <c r="F8" s="741"/>
      <c r="G8" s="743"/>
      <c r="H8" s="464"/>
      <c r="I8" s="713" t="s">
        <v>459</v>
      </c>
      <c r="J8" s="462"/>
    </row>
    <row r="9" spans="2:10" s="393" customFormat="1" ht="24.75" hidden="1" customHeight="1">
      <c r="B9" s="464"/>
      <c r="C9" s="461"/>
      <c r="D9" s="465"/>
      <c r="E9" s="473"/>
      <c r="F9" s="741"/>
      <c r="G9" s="743"/>
      <c r="H9" s="464"/>
      <c r="I9" s="713"/>
      <c r="J9" s="462"/>
    </row>
    <row r="10" spans="2:10" s="393" customFormat="1" ht="67.150000000000006" customHeight="1">
      <c r="B10" s="464"/>
      <c r="C10" s="461"/>
      <c r="D10" s="465"/>
      <c r="E10" s="473"/>
      <c r="F10" s="741"/>
      <c r="G10" s="743"/>
      <c r="H10" s="464"/>
      <c r="I10" s="712" t="s">
        <v>460</v>
      </c>
      <c r="J10" s="462"/>
    </row>
    <row r="11" spans="2:10" s="393" customFormat="1" ht="67.150000000000006" customHeight="1">
      <c r="B11" s="464"/>
      <c r="C11" s="461"/>
      <c r="D11" s="465"/>
      <c r="E11" s="474"/>
      <c r="F11" s="742"/>
      <c r="G11" s="737"/>
      <c r="H11" s="475"/>
      <c r="I11" s="712" t="s">
        <v>461</v>
      </c>
      <c r="J11" s="462"/>
    </row>
    <row r="12" spans="2:10" s="393" customFormat="1" ht="67.150000000000006" customHeight="1">
      <c r="B12" s="464"/>
      <c r="C12" s="461"/>
      <c r="D12" s="465"/>
      <c r="E12" s="466" t="s">
        <v>398</v>
      </c>
      <c r="F12" s="745">
        <v>46388</v>
      </c>
      <c r="G12" s="736">
        <v>46752</v>
      </c>
      <c r="H12" s="485" t="s">
        <v>463</v>
      </c>
      <c r="I12" s="714" t="s">
        <v>464</v>
      </c>
      <c r="J12" s="497" t="s">
        <v>100</v>
      </c>
    </row>
    <row r="13" spans="2:10" s="393" customFormat="1" ht="67.150000000000006" customHeight="1">
      <c r="B13" s="464"/>
      <c r="C13" s="461"/>
      <c r="D13" s="465"/>
      <c r="E13" s="467"/>
      <c r="F13" s="746"/>
      <c r="G13" s="743"/>
      <c r="H13" s="486"/>
      <c r="I13" s="714" t="s">
        <v>399</v>
      </c>
      <c r="J13" s="498"/>
    </row>
    <row r="14" spans="2:10" s="393" customFormat="1" ht="42.75" customHeight="1">
      <c r="B14" s="464"/>
      <c r="C14" s="461"/>
      <c r="D14" s="465"/>
      <c r="E14" s="467"/>
      <c r="F14" s="746"/>
      <c r="G14" s="743"/>
      <c r="H14" s="486"/>
      <c r="I14" s="714" t="s">
        <v>400</v>
      </c>
      <c r="J14" s="498"/>
    </row>
    <row r="15" spans="2:10" s="393" customFormat="1" ht="86.25" customHeight="1">
      <c r="B15" s="464"/>
      <c r="C15" s="461"/>
      <c r="D15" s="465"/>
      <c r="E15" s="467"/>
      <c r="F15" s="746"/>
      <c r="G15" s="743"/>
      <c r="H15" s="486"/>
      <c r="I15" s="714" t="s">
        <v>465</v>
      </c>
      <c r="J15" s="498"/>
    </row>
    <row r="16" spans="2:10" s="393" customFormat="1" ht="48" customHeight="1">
      <c r="B16" s="464"/>
      <c r="C16" s="461"/>
      <c r="D16" s="465"/>
      <c r="E16" s="467"/>
      <c r="F16" s="747"/>
      <c r="G16" s="737"/>
      <c r="H16" s="486"/>
      <c r="I16" s="714" t="s">
        <v>466</v>
      </c>
      <c r="J16" s="498"/>
    </row>
    <row r="17" spans="2:10" s="393" customFormat="1" ht="73.5" customHeight="1">
      <c r="B17" s="464"/>
      <c r="C17" s="461"/>
      <c r="D17" s="465"/>
      <c r="E17" s="494" t="s">
        <v>467</v>
      </c>
      <c r="F17" s="745">
        <v>46388</v>
      </c>
      <c r="G17" s="736">
        <v>46752</v>
      </c>
      <c r="H17" s="487" t="s">
        <v>468</v>
      </c>
      <c r="I17" s="714" t="s">
        <v>469</v>
      </c>
      <c r="J17" s="478" t="s">
        <v>401</v>
      </c>
    </row>
    <row r="18" spans="2:10" s="393" customFormat="1" ht="104.25" customHeight="1">
      <c r="B18" s="464"/>
      <c r="C18" s="461"/>
      <c r="D18" s="465"/>
      <c r="E18" s="495"/>
      <c r="F18" s="746"/>
      <c r="G18" s="743"/>
      <c r="H18" s="488"/>
      <c r="I18" s="714" t="s">
        <v>470</v>
      </c>
      <c r="J18" s="479"/>
    </row>
    <row r="19" spans="2:10" s="393" customFormat="1" ht="98.25" customHeight="1">
      <c r="B19" s="464"/>
      <c r="C19" s="461"/>
      <c r="D19" s="465"/>
      <c r="E19" s="495"/>
      <c r="F19" s="746"/>
      <c r="G19" s="743"/>
      <c r="H19" s="488"/>
      <c r="I19" s="714" t="s">
        <v>471</v>
      </c>
      <c r="J19" s="479"/>
    </row>
    <row r="20" spans="2:10" s="393" customFormat="1" ht="67.150000000000006" customHeight="1">
      <c r="B20" s="464"/>
      <c r="C20" s="461"/>
      <c r="D20" s="465"/>
      <c r="E20" s="495"/>
      <c r="F20" s="746"/>
      <c r="G20" s="743"/>
      <c r="H20" s="488"/>
      <c r="I20" s="714" t="s">
        <v>472</v>
      </c>
      <c r="J20" s="479"/>
    </row>
    <row r="21" spans="2:10" s="393" customFormat="1" ht="111.75" customHeight="1">
      <c r="B21" s="464"/>
      <c r="C21" s="461"/>
      <c r="D21" s="465"/>
      <c r="E21" s="496"/>
      <c r="F21" s="747"/>
      <c r="G21" s="737"/>
      <c r="H21" s="489"/>
      <c r="I21" s="714" t="s">
        <v>473</v>
      </c>
      <c r="J21" s="480"/>
    </row>
    <row r="22" spans="2:10" s="393" customFormat="1" ht="67.150000000000006" customHeight="1">
      <c r="B22" s="464"/>
      <c r="C22" s="461"/>
      <c r="D22" s="465"/>
      <c r="E22" s="379" t="s">
        <v>474</v>
      </c>
      <c r="F22" s="378">
        <v>46388</v>
      </c>
      <c r="G22" s="377">
        <v>46752</v>
      </c>
      <c r="H22" s="380" t="s">
        <v>405</v>
      </c>
      <c r="I22" s="715" t="s">
        <v>475</v>
      </c>
      <c r="J22" s="478" t="s">
        <v>412</v>
      </c>
    </row>
    <row r="23" spans="2:10" s="393" customFormat="1" ht="67.150000000000006" customHeight="1">
      <c r="B23" s="464"/>
      <c r="C23" s="461"/>
      <c r="D23" s="465"/>
      <c r="E23" s="381" t="s">
        <v>402</v>
      </c>
      <c r="F23" s="378">
        <v>46388</v>
      </c>
      <c r="G23" s="377">
        <v>46752</v>
      </c>
      <c r="H23" s="382" t="s">
        <v>406</v>
      </c>
      <c r="I23" s="715" t="s">
        <v>409</v>
      </c>
      <c r="J23" s="479"/>
    </row>
    <row r="24" spans="2:10" s="393" customFormat="1" ht="67.150000000000006" customHeight="1">
      <c r="B24" s="464"/>
      <c r="C24" s="461"/>
      <c r="D24" s="465"/>
      <c r="E24" s="380" t="s">
        <v>403</v>
      </c>
      <c r="F24" s="378">
        <v>46388</v>
      </c>
      <c r="G24" s="377">
        <v>46752</v>
      </c>
      <c r="H24" s="382" t="s">
        <v>407</v>
      </c>
      <c r="I24" s="715" t="s">
        <v>410</v>
      </c>
      <c r="J24" s="479"/>
    </row>
    <row r="25" spans="2:10" s="393" customFormat="1" ht="67.150000000000006" customHeight="1">
      <c r="B25" s="464"/>
      <c r="C25" s="461"/>
      <c r="D25" s="465"/>
      <c r="E25" s="462" t="s">
        <v>404</v>
      </c>
      <c r="F25" s="738" t="s">
        <v>592</v>
      </c>
      <c r="G25" s="736">
        <v>46752</v>
      </c>
      <c r="H25" s="478" t="s">
        <v>408</v>
      </c>
      <c r="I25" s="716" t="s">
        <v>411</v>
      </c>
      <c r="J25" s="479"/>
    </row>
    <row r="26" spans="2:10" s="393" customFormat="1" ht="6" customHeight="1" thickBot="1">
      <c r="B26" s="464"/>
      <c r="C26" s="461"/>
      <c r="D26" s="465"/>
      <c r="E26" s="462"/>
      <c r="F26" s="739">
        <v>46388</v>
      </c>
      <c r="G26" s="737"/>
      <c r="H26" s="479"/>
      <c r="I26" s="717"/>
      <c r="J26" s="479"/>
    </row>
    <row r="27" spans="2:10" s="393" customFormat="1" ht="66.75" hidden="1" customHeight="1">
      <c r="B27" s="464"/>
      <c r="C27" s="461"/>
      <c r="D27" s="465"/>
      <c r="E27" s="462"/>
      <c r="F27" s="384"/>
      <c r="G27" s="384"/>
      <c r="H27" s="479"/>
      <c r="I27" s="717"/>
      <c r="J27" s="479"/>
    </row>
    <row r="28" spans="2:10" s="393" customFormat="1" ht="66.75" hidden="1" customHeight="1">
      <c r="B28" s="464"/>
      <c r="C28" s="461"/>
      <c r="D28" s="465"/>
      <c r="E28" s="462"/>
      <c r="F28" s="384"/>
      <c r="G28" s="384"/>
      <c r="H28" s="480"/>
      <c r="I28" s="718"/>
      <c r="J28" s="480"/>
    </row>
    <row r="29" spans="2:10" s="393" customFormat="1" ht="67.150000000000006" customHeight="1" thickBot="1">
      <c r="B29" s="464"/>
      <c r="C29" s="461"/>
      <c r="D29" s="465"/>
      <c r="E29" s="462" t="s">
        <v>476</v>
      </c>
      <c r="F29" s="745">
        <v>46388</v>
      </c>
      <c r="G29" s="736">
        <v>46752</v>
      </c>
      <c r="H29" s="478" t="s">
        <v>477</v>
      </c>
      <c r="I29" s="719" t="s">
        <v>478</v>
      </c>
      <c r="J29" s="478" t="s">
        <v>413</v>
      </c>
    </row>
    <row r="30" spans="2:10" s="393" customFormat="1" ht="67.150000000000006" customHeight="1" thickBot="1">
      <c r="B30" s="464"/>
      <c r="C30" s="461"/>
      <c r="D30" s="465"/>
      <c r="E30" s="462"/>
      <c r="F30" s="746"/>
      <c r="G30" s="743"/>
      <c r="H30" s="479"/>
      <c r="I30" s="719" t="s">
        <v>479</v>
      </c>
      <c r="J30" s="479"/>
    </row>
    <row r="31" spans="2:10" s="393" customFormat="1" ht="67.150000000000006" customHeight="1" thickBot="1">
      <c r="B31" s="464"/>
      <c r="C31" s="461"/>
      <c r="D31" s="465"/>
      <c r="E31" s="462"/>
      <c r="F31" s="746"/>
      <c r="G31" s="743"/>
      <c r="H31" s="479"/>
      <c r="I31" s="719" t="s">
        <v>480</v>
      </c>
      <c r="J31" s="479"/>
    </row>
    <row r="32" spans="2:10" s="393" customFormat="1" ht="67.150000000000006" customHeight="1">
      <c r="B32" s="464"/>
      <c r="C32" s="461"/>
      <c r="D32" s="465"/>
      <c r="E32" s="462"/>
      <c r="F32" s="747"/>
      <c r="G32" s="737"/>
      <c r="H32" s="480"/>
      <c r="I32" s="720" t="s">
        <v>481</v>
      </c>
      <c r="J32" s="480"/>
    </row>
    <row r="33" spans="2:10" s="393" customFormat="1" ht="85.5" customHeight="1">
      <c r="B33" s="464"/>
      <c r="C33" s="461"/>
      <c r="D33" s="465"/>
      <c r="E33" s="478" t="s">
        <v>508</v>
      </c>
      <c r="F33" s="745">
        <v>46388</v>
      </c>
      <c r="G33" s="736">
        <v>46752</v>
      </c>
      <c r="H33" s="383" t="s">
        <v>509</v>
      </c>
      <c r="I33" s="721" t="s">
        <v>513</v>
      </c>
      <c r="J33" s="478" t="s">
        <v>512</v>
      </c>
    </row>
    <row r="34" spans="2:10" s="393" customFormat="1" ht="123.75" customHeight="1">
      <c r="B34" s="464"/>
      <c r="C34" s="461"/>
      <c r="D34" s="465"/>
      <c r="E34" s="479"/>
      <c r="F34" s="746"/>
      <c r="G34" s="743"/>
      <c r="H34" s="383" t="s">
        <v>510</v>
      </c>
      <c r="I34" s="721" t="s">
        <v>514</v>
      </c>
      <c r="J34" s="479"/>
    </row>
    <row r="35" spans="2:10" s="393" customFormat="1" ht="67.150000000000006" customHeight="1">
      <c r="B35" s="464"/>
      <c r="C35" s="461"/>
      <c r="D35" s="465"/>
      <c r="E35" s="479"/>
      <c r="F35" s="746"/>
      <c r="G35" s="743"/>
      <c r="H35" s="478" t="s">
        <v>511</v>
      </c>
      <c r="I35" s="716" t="s">
        <v>515</v>
      </c>
      <c r="J35" s="479"/>
    </row>
    <row r="36" spans="2:10" s="393" customFormat="1" ht="67.150000000000006" customHeight="1">
      <c r="B36" s="464"/>
      <c r="C36" s="461"/>
      <c r="D36" s="465"/>
      <c r="E36" s="480"/>
      <c r="F36" s="747"/>
      <c r="G36" s="737"/>
      <c r="H36" s="480"/>
      <c r="I36" s="718"/>
      <c r="J36" s="480"/>
    </row>
    <row r="37" spans="2:10" s="393" customFormat="1" ht="134.25" customHeight="1">
      <c r="B37" s="464"/>
      <c r="C37" s="461"/>
      <c r="D37" s="465"/>
      <c r="E37" s="478" t="s">
        <v>482</v>
      </c>
      <c r="F37" s="744">
        <v>46388</v>
      </c>
      <c r="G37" s="735">
        <v>46752</v>
      </c>
      <c r="H37" s="476" t="s">
        <v>488</v>
      </c>
      <c r="I37" s="397" t="s">
        <v>495</v>
      </c>
      <c r="J37" s="478" t="s">
        <v>414</v>
      </c>
    </row>
    <row r="38" spans="2:10" s="393" customFormat="1" ht="149.25" customHeight="1">
      <c r="B38" s="464"/>
      <c r="C38" s="461"/>
      <c r="D38" s="465"/>
      <c r="E38" s="480"/>
      <c r="F38" s="744"/>
      <c r="G38" s="735"/>
      <c r="H38" s="477"/>
      <c r="I38" s="722" t="s">
        <v>496</v>
      </c>
      <c r="J38" s="479"/>
    </row>
    <row r="39" spans="2:10" s="393" customFormat="1" ht="66.75" customHeight="1">
      <c r="B39" s="464"/>
      <c r="C39" s="461"/>
      <c r="D39" s="465"/>
      <c r="E39" s="385" t="s">
        <v>483</v>
      </c>
      <c r="F39" s="378">
        <v>46388</v>
      </c>
      <c r="G39" s="377">
        <v>46752</v>
      </c>
      <c r="H39" s="385" t="s">
        <v>489</v>
      </c>
      <c r="I39" s="723" t="s">
        <v>497</v>
      </c>
      <c r="J39" s="479"/>
    </row>
    <row r="40" spans="2:10" s="393" customFormat="1" ht="67.150000000000006" customHeight="1">
      <c r="B40" s="464"/>
      <c r="C40" s="461"/>
      <c r="D40" s="465"/>
      <c r="E40" s="386" t="s">
        <v>586</v>
      </c>
      <c r="F40" s="378">
        <v>46388</v>
      </c>
      <c r="G40" s="377">
        <v>46752</v>
      </c>
      <c r="H40" s="386" t="s">
        <v>490</v>
      </c>
      <c r="I40" s="724" t="s">
        <v>498</v>
      </c>
      <c r="J40" s="479"/>
    </row>
    <row r="41" spans="2:10" s="393" customFormat="1" ht="174.75" customHeight="1">
      <c r="B41" s="464"/>
      <c r="C41" s="461"/>
      <c r="D41" s="465"/>
      <c r="E41" s="386" t="s">
        <v>484</v>
      </c>
      <c r="F41" s="378">
        <v>46388</v>
      </c>
      <c r="G41" s="377">
        <v>46752</v>
      </c>
      <c r="H41" s="386" t="s">
        <v>491</v>
      </c>
      <c r="I41" s="724" t="s">
        <v>499</v>
      </c>
      <c r="J41" s="479"/>
    </row>
    <row r="42" spans="2:10" s="393" customFormat="1" ht="117" customHeight="1">
      <c r="B42" s="464"/>
      <c r="C42" s="461"/>
      <c r="D42" s="465"/>
      <c r="E42" s="386" t="s">
        <v>485</v>
      </c>
      <c r="F42" s="378">
        <v>46388</v>
      </c>
      <c r="G42" s="377">
        <v>46752</v>
      </c>
      <c r="H42" s="386" t="s">
        <v>492</v>
      </c>
      <c r="I42" s="724" t="s">
        <v>500</v>
      </c>
      <c r="J42" s="479"/>
    </row>
    <row r="43" spans="2:10" s="393" customFormat="1" ht="90.75" customHeight="1">
      <c r="B43" s="464"/>
      <c r="C43" s="461"/>
      <c r="D43" s="465"/>
      <c r="E43" s="386" t="s">
        <v>486</v>
      </c>
      <c r="F43" s="378">
        <v>46388</v>
      </c>
      <c r="G43" s="377">
        <v>46752</v>
      </c>
      <c r="H43" s="386" t="s">
        <v>493</v>
      </c>
      <c r="I43" s="724" t="s">
        <v>501</v>
      </c>
      <c r="J43" s="479"/>
    </row>
    <row r="44" spans="2:10" s="393" customFormat="1" ht="153" customHeight="1">
      <c r="B44" s="464"/>
      <c r="C44" s="461"/>
      <c r="D44" s="465"/>
      <c r="E44" s="387" t="s">
        <v>487</v>
      </c>
      <c r="F44" s="378">
        <v>46388</v>
      </c>
      <c r="G44" s="377">
        <v>46752</v>
      </c>
      <c r="H44" s="386" t="s">
        <v>494</v>
      </c>
      <c r="I44" s="724" t="s">
        <v>502</v>
      </c>
      <c r="J44" s="480"/>
    </row>
    <row r="45" spans="2:10" s="393" customFormat="1" ht="67.150000000000006" customHeight="1">
      <c r="B45" s="463">
        <v>2</v>
      </c>
      <c r="C45" s="491" t="str">
        <f>'Form 1.2'!F12</f>
        <v>Fortalecer la gestión financiera de la Empresa Pública Transporte Aéreo Militar mediante la administración eficiente de los recursos, contribuyendo a la sostenibilidad y al desarrollo empresarial en la gestión 2027</v>
      </c>
      <c r="D45" s="490" t="s">
        <v>71</v>
      </c>
      <c r="E45" s="388" t="s">
        <v>503</v>
      </c>
      <c r="F45" s="378">
        <v>46388</v>
      </c>
      <c r="G45" s="377">
        <v>46752</v>
      </c>
      <c r="H45" s="381"/>
      <c r="I45" s="725"/>
      <c r="J45" s="462" t="s">
        <v>89</v>
      </c>
    </row>
    <row r="46" spans="2:10" s="393" customFormat="1" ht="67.150000000000006" customHeight="1">
      <c r="B46" s="464"/>
      <c r="C46" s="491"/>
      <c r="D46" s="490"/>
      <c r="E46" s="492" t="s">
        <v>504</v>
      </c>
      <c r="F46" s="745">
        <v>46388</v>
      </c>
      <c r="G46" s="736">
        <v>46752</v>
      </c>
      <c r="H46" s="481"/>
      <c r="I46" s="726"/>
      <c r="J46" s="462"/>
    </row>
    <row r="47" spans="2:10" s="393" customFormat="1" ht="67.150000000000006" customHeight="1">
      <c r="B47" s="464"/>
      <c r="C47" s="491"/>
      <c r="D47" s="490"/>
      <c r="E47" s="493"/>
      <c r="F47" s="747"/>
      <c r="G47" s="737"/>
      <c r="H47" s="481"/>
      <c r="I47" s="727"/>
      <c r="J47" s="462"/>
    </row>
    <row r="48" spans="2:10" s="393" customFormat="1" ht="67.150000000000006" customHeight="1">
      <c r="B48" s="464"/>
      <c r="C48" s="491"/>
      <c r="D48" s="490"/>
      <c r="E48" s="492" t="s">
        <v>505</v>
      </c>
      <c r="F48" s="745">
        <v>46388</v>
      </c>
      <c r="G48" s="736">
        <v>46752</v>
      </c>
      <c r="H48" s="481"/>
      <c r="I48" s="728"/>
      <c r="J48" s="462"/>
    </row>
    <row r="49" spans="2:10" s="393" customFormat="1" ht="67.150000000000006" customHeight="1">
      <c r="B49" s="475"/>
      <c r="C49" s="491"/>
      <c r="D49" s="490"/>
      <c r="E49" s="493"/>
      <c r="F49" s="747"/>
      <c r="G49" s="737"/>
      <c r="H49" s="481"/>
      <c r="I49" s="728"/>
      <c r="J49" s="462"/>
    </row>
    <row r="50" spans="2:10" s="393" customFormat="1" ht="105" customHeight="1">
      <c r="B50" s="463">
        <v>410</v>
      </c>
      <c r="C50" s="466" t="str">
        <f>'Form 1.2'!F13</f>
        <v>Incrementar la participación en el mercado de transporte aéreo de pasajeros, carga y correo, mediante la implementación de estrategias comerciales, a nivel nacional en el año 2027</v>
      </c>
      <c r="D50" s="465" t="str">
        <f>'ACCION DE CORTO PLAZO- RESPONSA'!F7</f>
        <v>Incrementar la participación en el mercado de transporte aéreo de pasajeros, carga y correo, mediante la implementación de estrategias comerciales, a nivel nacional en el año 2027</v>
      </c>
      <c r="E50" s="389" t="s">
        <v>516</v>
      </c>
      <c r="F50" s="378">
        <v>46388</v>
      </c>
      <c r="G50" s="378">
        <v>46752</v>
      </c>
      <c r="H50" s="482" t="s">
        <v>519</v>
      </c>
      <c r="I50" s="729" t="s">
        <v>520</v>
      </c>
      <c r="J50" s="478" t="s">
        <v>90</v>
      </c>
    </row>
    <row r="51" spans="2:10" s="393" customFormat="1" ht="91.5" customHeight="1">
      <c r="B51" s="464"/>
      <c r="C51" s="467"/>
      <c r="D51" s="465"/>
      <c r="E51" s="389" t="s">
        <v>517</v>
      </c>
      <c r="F51" s="378">
        <v>46388</v>
      </c>
      <c r="G51" s="378">
        <v>46752</v>
      </c>
      <c r="H51" s="482"/>
      <c r="I51" s="729" t="s">
        <v>521</v>
      </c>
      <c r="J51" s="479"/>
    </row>
    <row r="52" spans="2:10" s="393" customFormat="1" ht="123" customHeight="1">
      <c r="B52" s="464"/>
      <c r="C52" s="467"/>
      <c r="D52" s="465"/>
      <c r="E52" s="389" t="s">
        <v>518</v>
      </c>
      <c r="F52" s="378">
        <v>46388</v>
      </c>
      <c r="G52" s="378">
        <v>46752</v>
      </c>
      <c r="H52" s="482"/>
      <c r="I52" s="729" t="s">
        <v>522</v>
      </c>
      <c r="J52" s="480"/>
    </row>
    <row r="53" spans="2:10" s="393" customFormat="1" ht="135.75" customHeight="1">
      <c r="B53" s="464"/>
      <c r="C53" s="467"/>
      <c r="D53" s="465"/>
      <c r="E53" s="472" t="s">
        <v>524</v>
      </c>
      <c r="F53" s="745">
        <v>46388</v>
      </c>
      <c r="G53" s="745">
        <v>46752</v>
      </c>
      <c r="H53" s="499" t="s">
        <v>525</v>
      </c>
      <c r="I53" s="714" t="s">
        <v>526</v>
      </c>
      <c r="J53" s="478" t="s">
        <v>523</v>
      </c>
    </row>
    <row r="54" spans="2:10" s="393" customFormat="1" ht="67.150000000000006" customHeight="1">
      <c r="B54" s="464"/>
      <c r="C54" s="467"/>
      <c r="D54" s="465"/>
      <c r="E54" s="473"/>
      <c r="F54" s="746">
        <v>46388</v>
      </c>
      <c r="G54" s="746">
        <v>46752</v>
      </c>
      <c r="H54" s="500"/>
      <c r="I54" s="714" t="s">
        <v>527</v>
      </c>
      <c r="J54" s="479"/>
    </row>
    <row r="55" spans="2:10" s="393" customFormat="1" ht="67.150000000000006" customHeight="1">
      <c r="B55" s="464"/>
      <c r="C55" s="467"/>
      <c r="D55" s="465"/>
      <c r="E55" s="473"/>
      <c r="F55" s="746">
        <v>46388</v>
      </c>
      <c r="G55" s="746">
        <v>46752</v>
      </c>
      <c r="H55" s="500"/>
      <c r="I55" s="714" t="s">
        <v>528</v>
      </c>
      <c r="J55" s="479"/>
    </row>
    <row r="56" spans="2:10" s="393" customFormat="1" ht="67.150000000000006" customHeight="1">
      <c r="B56" s="464"/>
      <c r="C56" s="467"/>
      <c r="D56" s="465"/>
      <c r="E56" s="473"/>
      <c r="F56" s="746">
        <v>46388</v>
      </c>
      <c r="G56" s="746">
        <v>46752</v>
      </c>
      <c r="H56" s="500"/>
      <c r="I56" s="714" t="s">
        <v>529</v>
      </c>
      <c r="J56" s="479"/>
    </row>
    <row r="57" spans="2:10" s="393" customFormat="1" ht="67.150000000000006" customHeight="1">
      <c r="B57" s="464"/>
      <c r="C57" s="467"/>
      <c r="D57" s="465"/>
      <c r="E57" s="473"/>
      <c r="F57" s="746">
        <v>46388</v>
      </c>
      <c r="G57" s="746">
        <v>46752</v>
      </c>
      <c r="H57" s="500"/>
      <c r="I57" s="714" t="s">
        <v>530</v>
      </c>
      <c r="J57" s="479"/>
    </row>
    <row r="58" spans="2:10" s="393" customFormat="1" ht="67.150000000000006" customHeight="1">
      <c r="B58" s="464"/>
      <c r="C58" s="467"/>
      <c r="D58" s="465"/>
      <c r="E58" s="473"/>
      <c r="F58" s="746">
        <v>46388</v>
      </c>
      <c r="G58" s="746">
        <v>46752</v>
      </c>
      <c r="H58" s="500"/>
      <c r="I58" s="714" t="s">
        <v>531</v>
      </c>
      <c r="J58" s="479"/>
    </row>
    <row r="59" spans="2:10" s="393" customFormat="1" ht="67.150000000000006" customHeight="1">
      <c r="B59" s="464"/>
      <c r="C59" s="467"/>
      <c r="D59" s="465"/>
      <c r="E59" s="473"/>
      <c r="F59" s="746">
        <v>46388</v>
      </c>
      <c r="G59" s="746">
        <v>46752</v>
      </c>
      <c r="H59" s="500"/>
      <c r="I59" s="714" t="s">
        <v>532</v>
      </c>
      <c r="J59" s="479"/>
    </row>
    <row r="60" spans="2:10" s="393" customFormat="1" ht="67.150000000000006" customHeight="1">
      <c r="B60" s="464"/>
      <c r="C60" s="467"/>
      <c r="D60" s="465"/>
      <c r="E60" s="473"/>
      <c r="F60" s="746">
        <v>46388</v>
      </c>
      <c r="G60" s="746">
        <v>46752</v>
      </c>
      <c r="H60" s="500"/>
      <c r="I60" s="714" t="s">
        <v>533</v>
      </c>
      <c r="J60" s="479"/>
    </row>
    <row r="61" spans="2:10" s="393" customFormat="1" ht="130.5" customHeight="1">
      <c r="B61" s="464"/>
      <c r="C61" s="468"/>
      <c r="D61" s="465"/>
      <c r="E61" s="474"/>
      <c r="F61" s="747">
        <v>46388</v>
      </c>
      <c r="G61" s="747">
        <v>46752</v>
      </c>
      <c r="H61" s="501"/>
      <c r="I61" s="714" t="s">
        <v>534</v>
      </c>
      <c r="J61" s="480"/>
    </row>
    <row r="62" spans="2:10" s="393" customFormat="1" ht="67.150000000000006" customHeight="1">
      <c r="B62" s="465">
        <v>210</v>
      </c>
      <c r="C62" s="461" t="str">
        <f>'Form 1.2'!F14</f>
        <v>Gestionar la prestación segura, eficiente y continua de las operaciones aeronáuticas mediante la gestión integral de la flota aérea, la aeronavegabilidad continua y el cumplimiento de los estándares de seguridad operacional a nivel nacional en la gestión 2027</v>
      </c>
      <c r="D62" s="462" t="str">
        <f>'Form 1.2'!G14</f>
        <v>Flota operativa y aeronavegable, con seguridad operacional gestionada de forma permanente, para la prestación segura y eficiente de los servicios de transporte aéreo.</v>
      </c>
      <c r="E62" s="470" t="s">
        <v>535</v>
      </c>
      <c r="F62" s="745">
        <v>46388</v>
      </c>
      <c r="G62" s="745">
        <v>46752</v>
      </c>
      <c r="H62" s="390" t="s">
        <v>538</v>
      </c>
      <c r="I62" s="721" t="s">
        <v>547</v>
      </c>
      <c r="J62" s="462" t="s">
        <v>415</v>
      </c>
    </row>
    <row r="63" spans="2:10" s="393" customFormat="1" ht="67.150000000000006" customHeight="1">
      <c r="B63" s="465"/>
      <c r="C63" s="461"/>
      <c r="D63" s="462"/>
      <c r="E63" s="470"/>
      <c r="F63" s="746">
        <v>46388</v>
      </c>
      <c r="G63" s="746">
        <v>46752</v>
      </c>
      <c r="H63" s="390" t="s">
        <v>539</v>
      </c>
      <c r="I63" s="721" t="s">
        <v>548</v>
      </c>
      <c r="J63" s="462"/>
    </row>
    <row r="64" spans="2:10" s="393" customFormat="1" ht="67.150000000000006" customHeight="1">
      <c r="B64" s="465"/>
      <c r="C64" s="461"/>
      <c r="D64" s="462"/>
      <c r="E64" s="470"/>
      <c r="F64" s="747">
        <v>46388</v>
      </c>
      <c r="G64" s="747">
        <v>46752</v>
      </c>
      <c r="H64" s="390" t="s">
        <v>416</v>
      </c>
      <c r="I64" s="721" t="s">
        <v>417</v>
      </c>
      <c r="J64" s="462"/>
    </row>
    <row r="65" spans="2:10" s="393" customFormat="1" ht="67.150000000000006" customHeight="1">
      <c r="B65" s="465"/>
      <c r="C65" s="461"/>
      <c r="D65" s="462"/>
      <c r="E65" s="470" t="s">
        <v>536</v>
      </c>
      <c r="F65" s="745">
        <v>46388</v>
      </c>
      <c r="G65" s="745">
        <v>46752</v>
      </c>
      <c r="H65" s="471" t="s">
        <v>541</v>
      </c>
      <c r="I65" s="713" t="s">
        <v>549</v>
      </c>
      <c r="J65" s="462"/>
    </row>
    <row r="66" spans="2:10" s="393" customFormat="1" ht="7.5" customHeight="1">
      <c r="B66" s="465"/>
      <c r="C66" s="461"/>
      <c r="D66" s="462"/>
      <c r="E66" s="470"/>
      <c r="F66" s="746"/>
      <c r="G66" s="746"/>
      <c r="H66" s="471"/>
      <c r="I66" s="713"/>
      <c r="J66" s="462"/>
    </row>
    <row r="67" spans="2:10" s="393" customFormat="1" ht="67.150000000000006" customHeight="1">
      <c r="B67" s="465"/>
      <c r="C67" s="461"/>
      <c r="D67" s="462"/>
      <c r="E67" s="470"/>
      <c r="F67" s="747"/>
      <c r="G67" s="747"/>
      <c r="H67" s="376" t="s">
        <v>540</v>
      </c>
      <c r="I67" s="712" t="s">
        <v>550</v>
      </c>
      <c r="J67" s="462"/>
    </row>
    <row r="68" spans="2:10" s="393" customFormat="1" ht="67.150000000000006" customHeight="1">
      <c r="B68" s="465"/>
      <c r="C68" s="461"/>
      <c r="D68" s="462"/>
      <c r="E68" s="470" t="s">
        <v>537</v>
      </c>
      <c r="F68" s="745">
        <v>46388</v>
      </c>
      <c r="G68" s="745">
        <v>46752</v>
      </c>
      <c r="H68" s="375" t="s">
        <v>543</v>
      </c>
      <c r="I68" s="721" t="s">
        <v>551</v>
      </c>
      <c r="J68" s="462"/>
    </row>
    <row r="69" spans="2:10" s="393" customFormat="1" ht="67.150000000000006" customHeight="1">
      <c r="B69" s="465"/>
      <c r="C69" s="461"/>
      <c r="D69" s="462"/>
      <c r="E69" s="470"/>
      <c r="F69" s="747"/>
      <c r="G69" s="747"/>
      <c r="H69" s="375" t="s">
        <v>542</v>
      </c>
      <c r="I69" s="712" t="s">
        <v>552</v>
      </c>
      <c r="J69" s="462"/>
    </row>
    <row r="70" spans="2:10" s="393" customFormat="1" ht="97.5" customHeight="1">
      <c r="B70" s="465"/>
      <c r="C70" s="461"/>
      <c r="D70" s="462"/>
      <c r="E70" s="462" t="s">
        <v>544</v>
      </c>
      <c r="F70" s="748">
        <v>46388</v>
      </c>
      <c r="G70" s="748">
        <v>46752</v>
      </c>
      <c r="H70" s="391" t="s">
        <v>545</v>
      </c>
      <c r="I70" s="721" t="s">
        <v>553</v>
      </c>
      <c r="J70" s="462"/>
    </row>
    <row r="71" spans="2:10" s="393" customFormat="1" ht="100.5" customHeight="1">
      <c r="B71" s="465"/>
      <c r="C71" s="461"/>
      <c r="D71" s="462"/>
      <c r="E71" s="462"/>
      <c r="F71" s="749"/>
      <c r="G71" s="749"/>
      <c r="H71" s="392" t="s">
        <v>546</v>
      </c>
      <c r="I71" s="395" t="s">
        <v>554</v>
      </c>
      <c r="J71" s="462"/>
    </row>
    <row r="72" spans="2:10" s="393" customFormat="1" ht="99.75" customHeight="1">
      <c r="B72" s="465"/>
      <c r="C72" s="461"/>
      <c r="D72" s="462"/>
      <c r="E72" s="465" t="s">
        <v>555</v>
      </c>
      <c r="F72" s="750">
        <v>46388</v>
      </c>
      <c r="G72" s="750">
        <v>46752</v>
      </c>
      <c r="H72" s="465" t="s">
        <v>579</v>
      </c>
      <c r="I72" s="721" t="s">
        <v>556</v>
      </c>
      <c r="J72" s="465" t="s">
        <v>106</v>
      </c>
    </row>
    <row r="73" spans="2:10" s="393" customFormat="1" ht="144" customHeight="1">
      <c r="B73" s="465"/>
      <c r="C73" s="461"/>
      <c r="D73" s="462"/>
      <c r="E73" s="465"/>
      <c r="F73" s="751"/>
      <c r="G73" s="751"/>
      <c r="H73" s="465"/>
      <c r="I73" s="721" t="s">
        <v>557</v>
      </c>
      <c r="J73" s="465"/>
    </row>
    <row r="74" spans="2:10" s="393" customFormat="1" ht="67.150000000000006" customHeight="1">
      <c r="B74" s="465"/>
      <c r="C74" s="461"/>
      <c r="D74" s="462"/>
      <c r="E74" s="465"/>
      <c r="F74" s="751"/>
      <c r="G74" s="751"/>
      <c r="H74" s="465"/>
      <c r="I74" s="721" t="s">
        <v>558</v>
      </c>
      <c r="J74" s="465"/>
    </row>
    <row r="75" spans="2:10" s="393" customFormat="1" ht="130.5" customHeight="1">
      <c r="B75" s="465"/>
      <c r="C75" s="461"/>
      <c r="D75" s="462"/>
      <c r="E75" s="465"/>
      <c r="F75" s="751"/>
      <c r="G75" s="751"/>
      <c r="H75" s="465"/>
      <c r="I75" s="721" t="s">
        <v>559</v>
      </c>
      <c r="J75" s="465"/>
    </row>
    <row r="76" spans="2:10" s="393" customFormat="1" ht="179.25" customHeight="1">
      <c r="B76" s="465"/>
      <c r="C76" s="461"/>
      <c r="D76" s="462"/>
      <c r="E76" s="465"/>
      <c r="F76" s="751"/>
      <c r="G76" s="751"/>
      <c r="H76" s="465"/>
      <c r="I76" s="721" t="s">
        <v>560</v>
      </c>
      <c r="J76" s="465"/>
    </row>
    <row r="77" spans="2:10" s="393" customFormat="1" ht="114" customHeight="1">
      <c r="B77" s="465"/>
      <c r="C77" s="461"/>
      <c r="D77" s="462"/>
      <c r="E77" s="465"/>
      <c r="F77" s="751"/>
      <c r="G77" s="751"/>
      <c r="H77" s="465"/>
      <c r="I77" s="721" t="s">
        <v>561</v>
      </c>
      <c r="J77" s="465"/>
    </row>
    <row r="78" spans="2:10" s="393" customFormat="1" ht="67.150000000000006" customHeight="1">
      <c r="B78" s="465"/>
      <c r="C78" s="461"/>
      <c r="D78" s="462"/>
      <c r="E78" s="465"/>
      <c r="F78" s="751"/>
      <c r="G78" s="751"/>
      <c r="H78" s="465"/>
      <c r="I78" s="721" t="s">
        <v>562</v>
      </c>
      <c r="J78" s="465"/>
    </row>
    <row r="79" spans="2:10" s="393" customFormat="1" ht="113.25" customHeight="1">
      <c r="B79" s="465"/>
      <c r="C79" s="461"/>
      <c r="D79" s="462"/>
      <c r="E79" s="465"/>
      <c r="F79" s="751"/>
      <c r="G79" s="751"/>
      <c r="H79" s="465"/>
      <c r="I79" s="721" t="s">
        <v>563</v>
      </c>
      <c r="J79" s="465"/>
    </row>
    <row r="80" spans="2:10" s="393" customFormat="1" ht="91.5" customHeight="1">
      <c r="B80" s="465"/>
      <c r="C80" s="461"/>
      <c r="D80" s="462"/>
      <c r="E80" s="465"/>
      <c r="F80" s="751"/>
      <c r="G80" s="751"/>
      <c r="H80" s="465"/>
      <c r="I80" s="721" t="s">
        <v>564</v>
      </c>
      <c r="J80" s="465"/>
    </row>
    <row r="81" spans="2:10" s="393" customFormat="1" ht="67.150000000000006" customHeight="1">
      <c r="B81" s="465"/>
      <c r="C81" s="461"/>
      <c r="D81" s="462"/>
      <c r="E81" s="465"/>
      <c r="F81" s="751"/>
      <c r="G81" s="751"/>
      <c r="H81" s="465"/>
      <c r="I81" s="721" t="s">
        <v>565</v>
      </c>
      <c r="J81" s="465"/>
    </row>
    <row r="82" spans="2:10" s="393" customFormat="1" ht="67.150000000000006" customHeight="1">
      <c r="B82" s="465"/>
      <c r="C82" s="461"/>
      <c r="D82" s="462"/>
      <c r="E82" s="465"/>
      <c r="F82" s="751"/>
      <c r="G82" s="751"/>
      <c r="H82" s="465"/>
      <c r="I82" s="721" t="s">
        <v>566</v>
      </c>
      <c r="J82" s="465"/>
    </row>
    <row r="83" spans="2:10" s="393" customFormat="1" ht="100.5" customHeight="1">
      <c r="B83" s="465"/>
      <c r="C83" s="461"/>
      <c r="D83" s="462"/>
      <c r="E83" s="465"/>
      <c r="F83" s="751"/>
      <c r="G83" s="751"/>
      <c r="H83" s="465"/>
      <c r="I83" s="721" t="s">
        <v>567</v>
      </c>
      <c r="J83" s="465"/>
    </row>
    <row r="84" spans="2:10" s="393" customFormat="1" ht="114" customHeight="1">
      <c r="B84" s="465"/>
      <c r="C84" s="461"/>
      <c r="D84" s="462"/>
      <c r="E84" s="465"/>
      <c r="F84" s="751"/>
      <c r="G84" s="751"/>
      <c r="H84" s="465"/>
      <c r="I84" s="721" t="s">
        <v>568</v>
      </c>
      <c r="J84" s="465"/>
    </row>
    <row r="85" spans="2:10" s="393" customFormat="1" ht="155.25" customHeight="1">
      <c r="B85" s="465"/>
      <c r="C85" s="461"/>
      <c r="D85" s="462"/>
      <c r="E85" s="465"/>
      <c r="F85" s="751"/>
      <c r="G85" s="751"/>
      <c r="H85" s="465"/>
      <c r="I85" s="721" t="s">
        <v>569</v>
      </c>
      <c r="J85" s="465"/>
    </row>
    <row r="86" spans="2:10" s="393" customFormat="1" ht="183" customHeight="1">
      <c r="B86" s="465"/>
      <c r="C86" s="461"/>
      <c r="D86" s="462"/>
      <c r="E86" s="465"/>
      <c r="F86" s="751"/>
      <c r="G86" s="751"/>
      <c r="H86" s="465"/>
      <c r="I86" s="721" t="s">
        <v>570</v>
      </c>
      <c r="J86" s="465"/>
    </row>
    <row r="87" spans="2:10" s="393" customFormat="1" ht="135.75" customHeight="1">
      <c r="B87" s="465"/>
      <c r="C87" s="461"/>
      <c r="D87" s="462"/>
      <c r="E87" s="465"/>
      <c r="F87" s="751"/>
      <c r="G87" s="751"/>
      <c r="H87" s="465"/>
      <c r="I87" s="721" t="s">
        <v>571</v>
      </c>
      <c r="J87" s="465"/>
    </row>
    <row r="88" spans="2:10" s="393" customFormat="1" ht="67.150000000000006" customHeight="1">
      <c r="B88" s="465"/>
      <c r="C88" s="461"/>
      <c r="D88" s="462"/>
      <c r="E88" s="465"/>
      <c r="F88" s="751"/>
      <c r="G88" s="751"/>
      <c r="H88" s="465"/>
      <c r="I88" s="721" t="s">
        <v>572</v>
      </c>
      <c r="J88" s="465"/>
    </row>
    <row r="89" spans="2:10" s="393" customFormat="1" ht="96.75" customHeight="1">
      <c r="B89" s="465"/>
      <c r="C89" s="461"/>
      <c r="D89" s="462"/>
      <c r="E89" s="465"/>
      <c r="F89" s="751"/>
      <c r="G89" s="751"/>
      <c r="H89" s="465"/>
      <c r="I89" s="721" t="s">
        <v>573</v>
      </c>
      <c r="J89" s="465"/>
    </row>
    <row r="90" spans="2:10" s="393" customFormat="1" ht="128.25" customHeight="1">
      <c r="B90" s="465"/>
      <c r="C90" s="461"/>
      <c r="D90" s="462"/>
      <c r="E90" s="465"/>
      <c r="F90" s="751"/>
      <c r="G90" s="751"/>
      <c r="H90" s="465"/>
      <c r="I90" s="721" t="s">
        <v>574</v>
      </c>
      <c r="J90" s="465"/>
    </row>
    <row r="91" spans="2:10" s="393" customFormat="1" ht="67.150000000000006" customHeight="1">
      <c r="B91" s="465"/>
      <c r="C91" s="461"/>
      <c r="D91" s="462"/>
      <c r="E91" s="465"/>
      <c r="F91" s="751"/>
      <c r="G91" s="751"/>
      <c r="H91" s="465"/>
      <c r="I91" s="721" t="s">
        <v>575</v>
      </c>
      <c r="J91" s="465"/>
    </row>
    <row r="92" spans="2:10" s="393" customFormat="1" ht="177.75" customHeight="1">
      <c r="B92" s="465"/>
      <c r="C92" s="461"/>
      <c r="D92" s="462"/>
      <c r="E92" s="465"/>
      <c r="F92" s="751"/>
      <c r="G92" s="751"/>
      <c r="H92" s="465"/>
      <c r="I92" s="721" t="s">
        <v>576</v>
      </c>
      <c r="J92" s="465"/>
    </row>
    <row r="93" spans="2:10" s="393" customFormat="1" ht="85.5" customHeight="1">
      <c r="B93" s="465"/>
      <c r="C93" s="461"/>
      <c r="D93" s="462"/>
      <c r="E93" s="465"/>
      <c r="F93" s="751"/>
      <c r="G93" s="751"/>
      <c r="H93" s="465"/>
      <c r="I93" s="721" t="s">
        <v>577</v>
      </c>
      <c r="J93" s="465"/>
    </row>
    <row r="94" spans="2:10" s="393" customFormat="1" ht="67.150000000000006" customHeight="1">
      <c r="B94" s="465"/>
      <c r="C94" s="461"/>
      <c r="D94" s="462"/>
      <c r="E94" s="465"/>
      <c r="F94" s="752"/>
      <c r="G94" s="752"/>
      <c r="H94" s="465"/>
      <c r="I94" s="721" t="s">
        <v>578</v>
      </c>
      <c r="J94" s="465"/>
    </row>
    <row r="95" spans="2:10" s="393" customFormat="1" ht="67.150000000000006" customHeight="1">
      <c r="B95" s="465"/>
      <c r="C95" s="461"/>
      <c r="D95" s="462"/>
      <c r="E95" s="469" t="s">
        <v>587</v>
      </c>
      <c r="F95" s="753">
        <v>46388</v>
      </c>
      <c r="G95" s="753">
        <v>46752</v>
      </c>
      <c r="H95" s="461" t="s">
        <v>580</v>
      </c>
      <c r="I95" s="395" t="s">
        <v>581</v>
      </c>
      <c r="J95" s="461" t="s">
        <v>418</v>
      </c>
    </row>
    <row r="96" spans="2:10" s="393" customFormat="1" ht="67.150000000000006" customHeight="1">
      <c r="B96" s="465"/>
      <c r="C96" s="461"/>
      <c r="D96" s="462"/>
      <c r="E96" s="469"/>
      <c r="F96" s="753"/>
      <c r="G96" s="753"/>
      <c r="H96" s="461"/>
      <c r="I96" s="395" t="s">
        <v>582</v>
      </c>
      <c r="J96" s="461"/>
    </row>
    <row r="97" spans="2:10" s="393" customFormat="1" ht="67.150000000000006" customHeight="1">
      <c r="B97" s="465"/>
      <c r="C97" s="461"/>
      <c r="D97" s="462"/>
      <c r="E97" s="469"/>
      <c r="F97" s="753"/>
      <c r="G97" s="753"/>
      <c r="H97" s="461"/>
      <c r="I97" s="395" t="s">
        <v>583</v>
      </c>
      <c r="J97" s="461"/>
    </row>
    <row r="98" spans="2:10" s="393" customFormat="1" ht="67.150000000000006" customHeight="1">
      <c r="B98" s="465"/>
      <c r="C98" s="461"/>
      <c r="D98" s="462"/>
      <c r="E98" s="469"/>
      <c r="F98" s="753"/>
      <c r="G98" s="753"/>
      <c r="H98" s="461"/>
      <c r="I98" s="395" t="s">
        <v>584</v>
      </c>
      <c r="J98" s="461"/>
    </row>
    <row r="99" spans="2:10" s="393" customFormat="1" ht="67.150000000000006" customHeight="1">
      <c r="B99" s="465"/>
      <c r="C99" s="461"/>
      <c r="D99" s="462"/>
      <c r="E99" s="469"/>
      <c r="F99" s="753"/>
      <c r="G99" s="753"/>
      <c r="H99" s="461"/>
      <c r="I99" s="395" t="s">
        <v>585</v>
      </c>
      <c r="J99" s="461"/>
    </row>
    <row r="1048575" spans="7:7" ht="67.150000000000006" customHeight="1">
      <c r="G1048575" s="377"/>
    </row>
  </sheetData>
  <mergeCells count="96">
    <mergeCell ref="F95:F99"/>
    <mergeCell ref="G95:G99"/>
    <mergeCell ref="F70:F71"/>
    <mergeCell ref="G70:G71"/>
    <mergeCell ref="F72:F94"/>
    <mergeCell ref="G72:G94"/>
    <mergeCell ref="F62:F64"/>
    <mergeCell ref="G62:G64"/>
    <mergeCell ref="F65:F67"/>
    <mergeCell ref="G65:G67"/>
    <mergeCell ref="F68:F69"/>
    <mergeCell ref="G68:G69"/>
    <mergeCell ref="F46:F47"/>
    <mergeCell ref="G46:G47"/>
    <mergeCell ref="F53:F61"/>
    <mergeCell ref="G53:G61"/>
    <mergeCell ref="J53:J61"/>
    <mergeCell ref="H53:H61"/>
    <mergeCell ref="G25:G26"/>
    <mergeCell ref="F25:F26"/>
    <mergeCell ref="F29:F32"/>
    <mergeCell ref="G29:G32"/>
    <mergeCell ref="F33:F36"/>
    <mergeCell ref="G33:G36"/>
    <mergeCell ref="F37:F38"/>
    <mergeCell ref="G37:G38"/>
    <mergeCell ref="J50:J52"/>
    <mergeCell ref="J6:J11"/>
    <mergeCell ref="J12:J16"/>
    <mergeCell ref="J17:J21"/>
    <mergeCell ref="J45:J49"/>
    <mergeCell ref="J22:J28"/>
    <mergeCell ref="J29:J32"/>
    <mergeCell ref="J37:J44"/>
    <mergeCell ref="B45:B49"/>
    <mergeCell ref="D6:D44"/>
    <mergeCell ref="D45:D49"/>
    <mergeCell ref="F48:F49"/>
    <mergeCell ref="G48:G49"/>
    <mergeCell ref="E12:E16"/>
    <mergeCell ref="C6:C44"/>
    <mergeCell ref="C45:C49"/>
    <mergeCell ref="E25:E28"/>
    <mergeCell ref="E29:E32"/>
    <mergeCell ref="E37:E38"/>
    <mergeCell ref="E46:E47"/>
    <mergeCell ref="E48:E49"/>
    <mergeCell ref="E17:E21"/>
    <mergeCell ref="F6:F11"/>
    <mergeCell ref="G6:G11"/>
    <mergeCell ref="B2:J2"/>
    <mergeCell ref="B3:J3"/>
    <mergeCell ref="F5:G5"/>
    <mergeCell ref="B6:B44"/>
    <mergeCell ref="H12:H16"/>
    <mergeCell ref="H17:H21"/>
    <mergeCell ref="H35:H36"/>
    <mergeCell ref="E33:E36"/>
    <mergeCell ref="J33:J36"/>
    <mergeCell ref="H29:H32"/>
    <mergeCell ref="I35:I36"/>
    <mergeCell ref="F12:F16"/>
    <mergeCell ref="G12:G16"/>
    <mergeCell ref="F17:F21"/>
    <mergeCell ref="G17:G21"/>
    <mergeCell ref="E65:E67"/>
    <mergeCell ref="E68:E69"/>
    <mergeCell ref="E70:E71"/>
    <mergeCell ref="E6:E11"/>
    <mergeCell ref="I8:I9"/>
    <mergeCell ref="H6:H11"/>
    <mergeCell ref="H37:H38"/>
    <mergeCell ref="I46:I47"/>
    <mergeCell ref="H25:H28"/>
    <mergeCell ref="I25:I28"/>
    <mergeCell ref="H46:H47"/>
    <mergeCell ref="H48:H49"/>
    <mergeCell ref="E53:E61"/>
    <mergeCell ref="H50:H52"/>
    <mergeCell ref="I48:I49"/>
    <mergeCell ref="H95:H99"/>
    <mergeCell ref="J95:J99"/>
    <mergeCell ref="D62:D99"/>
    <mergeCell ref="C62:C99"/>
    <mergeCell ref="B50:B61"/>
    <mergeCell ref="B62:B99"/>
    <mergeCell ref="C50:C61"/>
    <mergeCell ref="E95:E99"/>
    <mergeCell ref="J62:J71"/>
    <mergeCell ref="H72:H94"/>
    <mergeCell ref="E72:E94"/>
    <mergeCell ref="J72:J94"/>
    <mergeCell ref="I65:I66"/>
    <mergeCell ref="D50:D61"/>
    <mergeCell ref="E62:E64"/>
    <mergeCell ref="H65:H66"/>
  </mergeCells>
  <pageMargins left="0.75" right="0.75" top="1" bottom="1" header="0.5" footer="0.5"/>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G23"/>
  <sheetViews>
    <sheetView tabSelected="1" topLeftCell="A13" zoomScale="80" zoomScaleNormal="80" workbookViewId="0">
      <selection activeCell="G17" sqref="G17:G20"/>
    </sheetView>
  </sheetViews>
  <sheetFormatPr baseColWidth="10" defaultColWidth="9.140625" defaultRowHeight="15"/>
  <cols>
    <col min="2" max="2" width="8.28515625" customWidth="1"/>
    <col min="3" max="3" width="44.140625" customWidth="1"/>
    <col min="4" max="4" width="52.7109375" customWidth="1"/>
    <col min="5" max="5" width="43.5703125" customWidth="1"/>
    <col min="6" max="6" width="21" customWidth="1"/>
    <col min="7" max="7" width="23.7109375" customWidth="1"/>
  </cols>
  <sheetData>
    <row r="1" spans="2:7">
      <c r="B1" s="287"/>
      <c r="C1" s="287"/>
      <c r="D1" s="287"/>
      <c r="E1" s="287"/>
      <c r="F1" s="287"/>
      <c r="G1" s="287"/>
    </row>
    <row r="2" spans="2:7">
      <c r="B2" s="288"/>
      <c r="C2" s="288"/>
      <c r="D2" s="288"/>
      <c r="E2" s="288"/>
      <c r="F2" s="288"/>
      <c r="G2" s="288"/>
    </row>
    <row r="3" spans="2:7">
      <c r="B3" s="288"/>
      <c r="C3" s="288"/>
      <c r="D3" s="288"/>
      <c r="E3" s="288"/>
      <c r="F3" s="288"/>
      <c r="G3" s="288"/>
    </row>
    <row r="4" spans="2:7">
      <c r="B4" s="441" t="s">
        <v>91</v>
      </c>
      <c r="C4" s="441"/>
      <c r="D4" s="441"/>
      <c r="E4" s="441"/>
      <c r="F4" s="441"/>
      <c r="G4" s="441"/>
    </row>
    <row r="5" spans="2:7">
      <c r="B5" s="441" t="s">
        <v>419</v>
      </c>
      <c r="C5" s="441"/>
      <c r="D5" s="441"/>
      <c r="E5" s="441"/>
      <c r="F5" s="441"/>
      <c r="G5" s="441"/>
    </row>
    <row r="6" spans="2:7">
      <c r="B6" s="288"/>
      <c r="C6" s="288"/>
      <c r="D6" s="288"/>
      <c r="E6" s="288"/>
      <c r="F6" s="288"/>
      <c r="G6" s="288"/>
    </row>
    <row r="7" spans="2:7" ht="30">
      <c r="B7" s="289" t="s">
        <v>92</v>
      </c>
      <c r="C7" s="289" t="s">
        <v>93</v>
      </c>
      <c r="D7" s="289" t="s">
        <v>94</v>
      </c>
      <c r="E7" s="289" t="s">
        <v>95</v>
      </c>
      <c r="F7" s="289" t="s">
        <v>96</v>
      </c>
      <c r="G7" s="289" t="s">
        <v>97</v>
      </c>
    </row>
    <row r="8" spans="2:7" ht="47.1" customHeight="1">
      <c r="B8" s="442" t="s">
        <v>445</v>
      </c>
      <c r="C8" s="447" t="str">
        <f>'Form 1.2'!F11</f>
        <v>Fortalecer la gestión institucional mediante la mejora continua de los procesos, la modernización tecnológica, y el fortalecimiento de la transparencia institucional a nivel nacional en el año 2027.</v>
      </c>
      <c r="D8" s="443" t="str">
        <f>'Form 1.2'!G11</f>
        <v>Gestión institucional de la EPTAM modernizada, con procesos priorizados mejorados, herramientas digitales implementadas de forma progresiva, y mecanismos de transparencia y eficiencia institucional consolidados.</v>
      </c>
      <c r="E8" s="371" t="s">
        <v>99</v>
      </c>
      <c r="F8" s="454" t="s">
        <v>452</v>
      </c>
      <c r="G8" s="454" t="s">
        <v>453</v>
      </c>
    </row>
    <row r="9" spans="2:7">
      <c r="B9" s="443"/>
      <c r="C9" s="445"/>
      <c r="D9" s="443"/>
      <c r="E9" s="371" t="s">
        <v>101</v>
      </c>
      <c r="F9" s="455"/>
      <c r="G9" s="455"/>
    </row>
    <row r="10" spans="2:7">
      <c r="B10" s="443"/>
      <c r="C10" s="445"/>
      <c r="D10" s="443"/>
      <c r="E10" s="372" t="s">
        <v>100</v>
      </c>
      <c r="F10" s="455"/>
      <c r="G10" s="455"/>
    </row>
    <row r="11" spans="2:7">
      <c r="B11" s="443"/>
      <c r="C11" s="445"/>
      <c r="D11" s="443"/>
      <c r="E11" s="371" t="s">
        <v>449</v>
      </c>
      <c r="F11" s="455"/>
      <c r="G11" s="455"/>
    </row>
    <row r="12" spans="2:7" ht="30">
      <c r="B12" s="443"/>
      <c r="C12" s="445"/>
      <c r="D12" s="443"/>
      <c r="E12" s="372" t="s">
        <v>102</v>
      </c>
      <c r="F12" s="455"/>
      <c r="G12" s="455"/>
    </row>
    <row r="13" spans="2:7" ht="16.5" customHeight="1">
      <c r="B13" s="443"/>
      <c r="C13" s="445"/>
      <c r="D13" s="443"/>
      <c r="E13" s="370" t="s">
        <v>450</v>
      </c>
      <c r="F13" s="455"/>
      <c r="G13" s="455"/>
    </row>
    <row r="14" spans="2:7">
      <c r="B14" s="443"/>
      <c r="C14" s="446"/>
      <c r="D14" s="443"/>
      <c r="E14" s="290" t="s">
        <v>103</v>
      </c>
      <c r="F14" s="455"/>
      <c r="G14" s="455"/>
    </row>
    <row r="15" spans="2:7" ht="102" customHeight="1">
      <c r="B15" s="369" t="s">
        <v>442</v>
      </c>
      <c r="C15" s="374" t="str">
        <f>'Form 1.2'!F12</f>
        <v>Fortalecer la gestión financiera de la Empresa Pública Transporte Aéreo Militar mediante la administración eficiente de los recursos, contribuyendo a la sostenibilidad y al desarrollo empresarial en la gestión 2027</v>
      </c>
      <c r="D15" s="292" t="str">
        <f>'Form 1.2'!G12</f>
        <v>Gestión financiera fortalecida, con una administración eficiente y oportuna de los recursos institucionales.</v>
      </c>
      <c r="E15" s="290" t="s">
        <v>104</v>
      </c>
      <c r="F15" s="373" t="s">
        <v>452</v>
      </c>
      <c r="G15" s="373" t="s">
        <v>453</v>
      </c>
    </row>
    <row r="16" spans="2:7" ht="27" customHeight="1">
      <c r="B16" s="444" t="s">
        <v>447</v>
      </c>
      <c r="C16" s="448" t="str">
        <f>'Form 1.2'!F13</f>
        <v>Incrementar la participación en el mercado de transporte aéreo de pasajeros, carga y correo, mediante la implementación de estrategias comerciales, a nivel nacional en el año 2027</v>
      </c>
      <c r="D16" s="451" t="str">
        <f>'ACCION DE CORTO PLAZO- RESPONSA'!G7</f>
        <v>Servicio de transporte aéreo de pasajeros, carga y correo prestado a nivel nacional, mediante la implementación de estrategias comerciales</v>
      </c>
      <c r="E16" s="290" t="s">
        <v>105</v>
      </c>
      <c r="F16" s="373" t="s">
        <v>452</v>
      </c>
      <c r="G16" s="373" t="s">
        <v>453</v>
      </c>
    </row>
    <row r="17" spans="2:7" ht="18" customHeight="1">
      <c r="B17" s="456"/>
      <c r="C17" s="449"/>
      <c r="D17" s="452"/>
      <c r="E17" s="458" t="s">
        <v>448</v>
      </c>
      <c r="F17" s="438" t="s">
        <v>452</v>
      </c>
      <c r="G17" s="438" t="s">
        <v>453</v>
      </c>
    </row>
    <row r="18" spans="2:7" ht="23.1" customHeight="1">
      <c r="B18" s="456"/>
      <c r="C18" s="449"/>
      <c r="D18" s="452"/>
      <c r="E18" s="459"/>
      <c r="F18" s="439"/>
      <c r="G18" s="733"/>
    </row>
    <row r="19" spans="2:7" ht="20.100000000000001" customHeight="1">
      <c r="B19" s="456"/>
      <c r="C19" s="449"/>
      <c r="D19" s="452"/>
      <c r="E19" s="459"/>
      <c r="F19" s="439"/>
      <c r="G19" s="733"/>
    </row>
    <row r="20" spans="2:7" ht="21" customHeight="1">
      <c r="B20" s="457"/>
      <c r="C20" s="450"/>
      <c r="D20" s="453"/>
      <c r="E20" s="460"/>
      <c r="F20" s="440"/>
      <c r="G20" s="734"/>
    </row>
    <row r="21" spans="2:7" ht="15" customHeight="1">
      <c r="B21" s="444" t="s">
        <v>446</v>
      </c>
      <c r="C21" s="451" t="str">
        <f>'Form 1.2'!F14</f>
        <v>Gestionar la prestación segura, eficiente y continua de las operaciones aeronáuticas mediante la gestión integral de la flota aérea, la aeronavegabilidad continua y el cumplimiento de los estándares de seguridad operacional a nivel nacional en la gestión 2027</v>
      </c>
      <c r="D21" s="451" t="str">
        <f>'ACCION DE CORTO PLAZO- RESPONSA'!G8</f>
        <v>Flota operativa y aeronavegable, con seguridad operacional gestionada de forma permanente, para la prestación segura y eficiente de los servicios de transporte aéreo.</v>
      </c>
      <c r="E21" s="290" t="s">
        <v>106</v>
      </c>
      <c r="F21" s="438" t="s">
        <v>452</v>
      </c>
      <c r="G21" s="438" t="s">
        <v>453</v>
      </c>
    </row>
    <row r="22" spans="2:7" ht="30" customHeight="1">
      <c r="B22" s="445"/>
      <c r="C22" s="452"/>
      <c r="D22" s="452"/>
      <c r="E22" s="290" t="s">
        <v>107</v>
      </c>
      <c r="F22" s="439"/>
      <c r="G22" s="439"/>
    </row>
    <row r="23" spans="2:7" ht="30" customHeight="1">
      <c r="B23" s="446"/>
      <c r="C23" s="453"/>
      <c r="D23" s="453"/>
      <c r="E23" s="370" t="s">
        <v>451</v>
      </c>
      <c r="F23" s="440"/>
      <c r="G23" s="440"/>
    </row>
  </sheetData>
  <mergeCells count="18">
    <mergeCell ref="E17:E20"/>
    <mergeCell ref="G17:G20"/>
    <mergeCell ref="F17:F20"/>
    <mergeCell ref="B4:G4"/>
    <mergeCell ref="B5:G5"/>
    <mergeCell ref="B8:B14"/>
    <mergeCell ref="B21:B23"/>
    <mergeCell ref="C8:C14"/>
    <mergeCell ref="C16:C20"/>
    <mergeCell ref="C21:C23"/>
    <mergeCell ref="D8:D14"/>
    <mergeCell ref="D16:D20"/>
    <mergeCell ref="D21:D23"/>
    <mergeCell ref="F8:F14"/>
    <mergeCell ref="F21:F23"/>
    <mergeCell ref="G8:G14"/>
    <mergeCell ref="G21:G23"/>
    <mergeCell ref="B16:B20"/>
  </mergeCells>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1:N289"/>
  <sheetViews>
    <sheetView workbookViewId="0">
      <selection activeCell="E5" sqref="E5:E7"/>
    </sheetView>
  </sheetViews>
  <sheetFormatPr baseColWidth="10" defaultColWidth="9.140625" defaultRowHeight="15"/>
  <cols>
    <col min="3" max="3" width="12.28515625" customWidth="1"/>
    <col min="4" max="4" width="29.85546875" customWidth="1"/>
    <col min="5" max="5" width="27.5703125" customWidth="1"/>
    <col min="6" max="6" width="16.140625" hidden="1" customWidth="1"/>
    <col min="7" max="7" width="19.28515625" customWidth="1"/>
    <col min="8" max="8" width="23.42578125" customWidth="1"/>
    <col min="9" max="9" width="19.28515625" customWidth="1"/>
    <col min="11" max="11" width="8.28515625" customWidth="1"/>
    <col min="12" max="12" width="40.7109375" customWidth="1"/>
    <col min="13" max="13" width="21.140625" customWidth="1"/>
    <col min="14" max="14" width="22.28515625" customWidth="1"/>
  </cols>
  <sheetData>
    <row r="1" spans="3:14">
      <c r="C1" s="502" t="s">
        <v>118</v>
      </c>
      <c r="D1" s="502"/>
      <c r="E1" s="502"/>
      <c r="F1" s="502"/>
      <c r="G1" s="502"/>
      <c r="H1" s="502"/>
      <c r="I1" s="502"/>
    </row>
    <row r="2" spans="3:14">
      <c r="C2" s="502" t="s">
        <v>119</v>
      </c>
      <c r="D2" s="502"/>
      <c r="E2" s="502"/>
      <c r="F2" s="502"/>
      <c r="G2" s="502"/>
      <c r="H2" s="502"/>
      <c r="I2" s="502"/>
    </row>
    <row r="4" spans="3:14" ht="33.75">
      <c r="C4" s="249" t="s">
        <v>86</v>
      </c>
      <c r="D4" s="249" t="s">
        <v>87</v>
      </c>
      <c r="E4" s="249" t="s">
        <v>110</v>
      </c>
      <c r="F4" s="249" t="s">
        <v>111</v>
      </c>
      <c r="G4" s="249" t="s">
        <v>120</v>
      </c>
      <c r="H4" s="249" t="s">
        <v>121</v>
      </c>
      <c r="I4" s="249" t="s">
        <v>122</v>
      </c>
      <c r="K4" s="264" t="s">
        <v>123</v>
      </c>
      <c r="L4" s="264" t="s">
        <v>124</v>
      </c>
      <c r="M4" s="264" t="s">
        <v>125</v>
      </c>
      <c r="N4" s="264" t="s">
        <v>126</v>
      </c>
    </row>
    <row r="5" spans="3:14">
      <c r="C5" s="503" t="s">
        <v>65</v>
      </c>
      <c r="D5" s="514" t="s">
        <v>66</v>
      </c>
      <c r="E5" s="506" t="s">
        <v>127</v>
      </c>
      <c r="F5" s="251"/>
      <c r="G5" s="252"/>
      <c r="H5" s="253" t="s">
        <v>128</v>
      </c>
      <c r="I5" s="265"/>
      <c r="K5" s="266">
        <v>1</v>
      </c>
      <c r="L5" s="252" t="s">
        <v>129</v>
      </c>
      <c r="M5" s="267">
        <f>I5+I9+I14+I21+I23+I34+I43+I51+I54+I63+I73+I80+I112+I147+I181+I199+I223+I243+I262+I287+I16+I60</f>
        <v>0</v>
      </c>
      <c r="N5" s="253" t="s">
        <v>130</v>
      </c>
    </row>
    <row r="6" spans="3:14">
      <c r="C6" s="504"/>
      <c r="D6" s="515"/>
      <c r="E6" s="507"/>
      <c r="F6" s="255"/>
      <c r="G6" s="252"/>
      <c r="H6" s="253" t="s">
        <v>128</v>
      </c>
      <c r="I6" s="265"/>
      <c r="K6" s="266">
        <v>2</v>
      </c>
      <c r="L6" s="252" t="s">
        <v>131</v>
      </c>
      <c r="M6" s="267">
        <f>SUM(I153,I187,I207,I264,I288)</f>
        <v>0</v>
      </c>
      <c r="N6" s="253" t="s">
        <v>130</v>
      </c>
    </row>
    <row r="7" spans="3:14">
      <c r="C7" s="504"/>
      <c r="D7" s="515"/>
      <c r="E7" s="508"/>
      <c r="F7" s="257"/>
      <c r="G7" s="252"/>
      <c r="H7" s="253" t="s">
        <v>128</v>
      </c>
      <c r="I7" s="265"/>
      <c r="K7" s="266">
        <v>3</v>
      </c>
      <c r="L7" s="252" t="s">
        <v>132</v>
      </c>
      <c r="M7" s="267">
        <f>SUM(I7,I33,I42,I50,I53,I59,I62,I69,I86,I145,I193,I217,I238,I265,I286)</f>
        <v>0</v>
      </c>
      <c r="N7" s="253" t="s">
        <v>130</v>
      </c>
    </row>
    <row r="8" spans="3:14" ht="12.95" customHeight="1">
      <c r="C8" s="504"/>
      <c r="D8" s="515"/>
      <c r="E8" s="506" t="s">
        <v>133</v>
      </c>
      <c r="F8" s="251"/>
      <c r="G8" s="252"/>
      <c r="H8" s="253" t="s">
        <v>130</v>
      </c>
      <c r="I8" s="265"/>
      <c r="K8" s="266">
        <v>4</v>
      </c>
      <c r="L8" s="252" t="s">
        <v>134</v>
      </c>
      <c r="M8" s="267">
        <f>SUM(I8,I28,I38,I48,I57,I66,I137,I172,I192,I216,I259,I272,I285)</f>
        <v>0</v>
      </c>
      <c r="N8" s="253" t="s">
        <v>130</v>
      </c>
    </row>
    <row r="9" spans="3:14">
      <c r="C9" s="504"/>
      <c r="D9" s="515"/>
      <c r="E9" s="507"/>
      <c r="F9" s="255"/>
      <c r="G9" s="252"/>
      <c r="H9" s="253" t="s">
        <v>130</v>
      </c>
      <c r="I9" s="265"/>
      <c r="K9" s="266">
        <v>5</v>
      </c>
      <c r="L9" s="252" t="s">
        <v>135</v>
      </c>
      <c r="M9" s="267">
        <f>I11+I52+I56+I78+I83+I209</f>
        <v>0</v>
      </c>
      <c r="N9" s="253" t="s">
        <v>130</v>
      </c>
    </row>
    <row r="10" spans="3:14">
      <c r="C10" s="504"/>
      <c r="D10" s="515"/>
      <c r="E10" s="507"/>
      <c r="F10" s="255"/>
      <c r="G10" s="252"/>
      <c r="H10" s="253" t="s">
        <v>130</v>
      </c>
      <c r="I10" s="265"/>
      <c r="K10" s="266">
        <v>6</v>
      </c>
      <c r="L10" s="252" t="s">
        <v>136</v>
      </c>
      <c r="M10" s="267">
        <f>I13+I29+I41</f>
        <v>0</v>
      </c>
      <c r="N10" s="253" t="s">
        <v>130</v>
      </c>
    </row>
    <row r="11" spans="3:14">
      <c r="C11" s="504"/>
      <c r="D11" s="515"/>
      <c r="E11" s="507"/>
      <c r="F11" s="255"/>
      <c r="G11" s="252"/>
      <c r="H11" s="253" t="s">
        <v>130</v>
      </c>
      <c r="I11" s="265"/>
      <c r="K11" s="266">
        <v>7</v>
      </c>
      <c r="L11" s="252" t="s">
        <v>137</v>
      </c>
      <c r="M11" s="267">
        <f>I25+I36+I46+I97+I133+I168+I255+I266</f>
        <v>0</v>
      </c>
      <c r="N11" s="253" t="s">
        <v>130</v>
      </c>
    </row>
    <row r="12" spans="3:14" ht="15" customHeight="1">
      <c r="C12" s="504"/>
      <c r="D12" s="515"/>
      <c r="E12" s="507"/>
      <c r="F12" s="255"/>
      <c r="G12" s="252"/>
      <c r="H12" s="253" t="s">
        <v>130</v>
      </c>
      <c r="I12" s="265"/>
      <c r="K12" s="266">
        <v>8</v>
      </c>
      <c r="L12" s="252" t="s">
        <v>138</v>
      </c>
      <c r="M12" s="267">
        <f>I26+I37+I47+I84+I98+I134+I169+I188+I212+I234+I257+I267</f>
        <v>0</v>
      </c>
      <c r="N12" s="253" t="s">
        <v>130</v>
      </c>
    </row>
    <row r="13" spans="3:14" ht="24">
      <c r="C13" s="504"/>
      <c r="D13" s="515"/>
      <c r="E13" s="508"/>
      <c r="F13" s="257"/>
      <c r="G13" s="252"/>
      <c r="H13" s="253" t="s">
        <v>130</v>
      </c>
      <c r="I13" s="265"/>
      <c r="K13" s="266">
        <v>9</v>
      </c>
      <c r="L13" s="252" t="s">
        <v>139</v>
      </c>
      <c r="M13" s="267">
        <f>I27+I65</f>
        <v>0</v>
      </c>
      <c r="N13" s="253" t="s">
        <v>130</v>
      </c>
    </row>
    <row r="14" spans="3:14" ht="15" customHeight="1">
      <c r="C14" s="504"/>
      <c r="D14" s="515"/>
      <c r="E14" s="506" t="s">
        <v>140</v>
      </c>
      <c r="F14" s="251"/>
      <c r="G14" s="252"/>
      <c r="H14" s="253" t="s">
        <v>141</v>
      </c>
      <c r="I14" s="265"/>
      <c r="K14" s="266">
        <v>10</v>
      </c>
      <c r="L14" s="252" t="s">
        <v>142</v>
      </c>
      <c r="M14" s="267">
        <f>I30+I71+I79</f>
        <v>0</v>
      </c>
      <c r="N14" s="253" t="s">
        <v>130</v>
      </c>
    </row>
    <row r="15" spans="3:14" ht="15" customHeight="1">
      <c r="C15" s="504"/>
      <c r="D15" s="515"/>
      <c r="E15" s="507"/>
      <c r="F15" s="255"/>
      <c r="G15" s="252"/>
      <c r="H15" s="253" t="s">
        <v>141</v>
      </c>
      <c r="I15" s="265"/>
      <c r="K15" s="266">
        <v>11</v>
      </c>
      <c r="L15" s="252" t="s">
        <v>143</v>
      </c>
      <c r="M15" s="267">
        <f>I32+I89</f>
        <v>0</v>
      </c>
      <c r="N15" s="253" t="s">
        <v>130</v>
      </c>
    </row>
    <row r="16" spans="3:14">
      <c r="C16" s="504"/>
      <c r="D16" s="515"/>
      <c r="E16" s="506" t="s">
        <v>116</v>
      </c>
      <c r="F16" s="251"/>
      <c r="G16" s="252"/>
      <c r="H16" s="253" t="s">
        <v>144</v>
      </c>
      <c r="I16" s="265"/>
      <c r="K16" s="266">
        <v>12</v>
      </c>
      <c r="L16" s="252" t="s">
        <v>145</v>
      </c>
      <c r="M16" s="267">
        <f>I35+I201+I225</f>
        <v>0</v>
      </c>
      <c r="N16" s="253" t="s">
        <v>130</v>
      </c>
    </row>
    <row r="17" spans="3:14" ht="20.100000000000001" customHeight="1">
      <c r="C17" s="504"/>
      <c r="D17" s="515"/>
      <c r="E17" s="508"/>
      <c r="F17" s="257"/>
      <c r="G17" s="252"/>
      <c r="H17" s="253" t="s">
        <v>144</v>
      </c>
      <c r="I17" s="265"/>
      <c r="K17" s="266">
        <v>13</v>
      </c>
      <c r="L17" s="252" t="s">
        <v>146</v>
      </c>
      <c r="M17" s="267">
        <f>I39+I173</f>
        <v>0</v>
      </c>
      <c r="N17" s="253" t="s">
        <v>130</v>
      </c>
    </row>
    <row r="18" spans="3:14" ht="17.100000000000001" customHeight="1">
      <c r="C18" s="504"/>
      <c r="D18" s="515"/>
      <c r="E18" s="509" t="s">
        <v>117</v>
      </c>
      <c r="F18" s="258"/>
      <c r="G18" s="252"/>
      <c r="H18" s="253" t="s">
        <v>144</v>
      </c>
      <c r="I18" s="265"/>
      <c r="K18" s="266">
        <v>14</v>
      </c>
      <c r="L18" s="252" t="s">
        <v>147</v>
      </c>
      <c r="M18" s="267">
        <f>I40+I106+I175</f>
        <v>0</v>
      </c>
      <c r="N18" s="253" t="s">
        <v>130</v>
      </c>
    </row>
    <row r="19" spans="3:14">
      <c r="C19" s="504"/>
      <c r="D19" s="515"/>
      <c r="E19" s="510"/>
      <c r="F19" s="259"/>
      <c r="G19" s="252"/>
      <c r="H19" s="253" t="s">
        <v>144</v>
      </c>
      <c r="I19" s="265"/>
      <c r="K19" s="266">
        <v>15</v>
      </c>
      <c r="L19" s="252" t="s">
        <v>148</v>
      </c>
      <c r="M19" s="267">
        <f>I49+I58</f>
        <v>0</v>
      </c>
      <c r="N19" s="253" t="s">
        <v>130</v>
      </c>
    </row>
    <row r="20" spans="3:14">
      <c r="C20" s="504"/>
      <c r="D20" s="515"/>
      <c r="E20" s="511"/>
      <c r="F20" s="260"/>
      <c r="G20" s="252"/>
      <c r="H20" s="253"/>
      <c r="I20" s="265"/>
      <c r="K20" s="266">
        <v>16</v>
      </c>
      <c r="L20" s="252" t="s">
        <v>149</v>
      </c>
      <c r="M20" s="267">
        <f>I67+I194+I239</f>
        <v>0</v>
      </c>
      <c r="N20" s="253" t="s">
        <v>130</v>
      </c>
    </row>
    <row r="21" spans="3:14">
      <c r="C21" s="504"/>
      <c r="D21" s="515"/>
      <c r="E21" s="506"/>
      <c r="F21" s="250"/>
      <c r="G21" s="261"/>
      <c r="H21" s="262"/>
      <c r="I21" s="268"/>
      <c r="K21" s="266">
        <v>17</v>
      </c>
      <c r="L21" s="252" t="s">
        <v>150</v>
      </c>
      <c r="M21" s="267">
        <f>I70</f>
        <v>0</v>
      </c>
      <c r="N21" s="253" t="s">
        <v>130</v>
      </c>
    </row>
    <row r="22" spans="3:14">
      <c r="C22" s="504"/>
      <c r="D22" s="515"/>
      <c r="E22" s="507"/>
      <c r="F22" s="254"/>
      <c r="G22" s="261"/>
      <c r="H22" s="262"/>
      <c r="I22" s="268"/>
      <c r="K22" s="266">
        <v>18</v>
      </c>
      <c r="L22" s="252" t="s">
        <v>151</v>
      </c>
      <c r="M22" s="267">
        <f>I74+I118+I152+I186+I282</f>
        <v>0</v>
      </c>
      <c r="N22" s="253" t="s">
        <v>130</v>
      </c>
    </row>
    <row r="23" spans="3:14">
      <c r="C23" s="504"/>
      <c r="D23" s="515"/>
      <c r="E23" s="507"/>
      <c r="F23" s="254"/>
      <c r="G23" s="261"/>
      <c r="H23" s="262"/>
      <c r="I23" s="268"/>
      <c r="K23" s="266">
        <v>20</v>
      </c>
      <c r="L23" s="252" t="s">
        <v>152</v>
      </c>
      <c r="M23" s="269"/>
      <c r="N23" s="253" t="s">
        <v>130</v>
      </c>
    </row>
    <row r="24" spans="3:14">
      <c r="C24" s="504"/>
      <c r="D24" s="515"/>
      <c r="E24" s="512"/>
      <c r="F24" s="254"/>
      <c r="G24" s="261"/>
      <c r="H24" s="262"/>
      <c r="I24" s="268"/>
      <c r="K24" s="266">
        <v>0</v>
      </c>
      <c r="L24" s="252" t="s">
        <v>153</v>
      </c>
      <c r="M24" s="269">
        <v>0</v>
      </c>
      <c r="N24" s="253">
        <v>0</v>
      </c>
    </row>
    <row r="25" spans="3:14">
      <c r="C25" s="504"/>
      <c r="D25" s="515"/>
      <c r="E25" s="506"/>
      <c r="F25" s="250"/>
      <c r="G25" s="261"/>
      <c r="H25" s="262"/>
      <c r="I25" s="268"/>
      <c r="K25" s="266">
        <v>21</v>
      </c>
      <c r="L25" s="252" t="s">
        <v>154</v>
      </c>
      <c r="M25" s="269"/>
      <c r="N25" s="253" t="s">
        <v>130</v>
      </c>
    </row>
    <row r="26" spans="3:14">
      <c r="C26" s="504"/>
      <c r="D26" s="515"/>
      <c r="E26" s="507"/>
      <c r="F26" s="254"/>
      <c r="G26" s="261"/>
      <c r="H26" s="262"/>
      <c r="I26" s="268"/>
      <c r="K26" s="266">
        <v>22</v>
      </c>
      <c r="L26" s="252" t="s">
        <v>154</v>
      </c>
      <c r="M26" s="269"/>
      <c r="N26" s="253" t="s">
        <v>130</v>
      </c>
    </row>
    <row r="27" spans="3:14">
      <c r="C27" s="504"/>
      <c r="D27" s="515"/>
      <c r="E27" s="507"/>
      <c r="F27" s="254"/>
      <c r="G27" s="261"/>
      <c r="H27" s="262"/>
      <c r="I27" s="268"/>
      <c r="K27" s="266">
        <v>23</v>
      </c>
      <c r="L27" s="252" t="s">
        <v>155</v>
      </c>
      <c r="M27" s="265">
        <v>840</v>
      </c>
      <c r="N27" s="253" t="s">
        <v>130</v>
      </c>
    </row>
    <row r="28" spans="3:14">
      <c r="C28" s="504"/>
      <c r="D28" s="515"/>
      <c r="E28" s="507"/>
      <c r="F28" s="254"/>
      <c r="G28" s="261"/>
      <c r="H28" s="262"/>
      <c r="I28" s="268"/>
      <c r="K28" s="266">
        <v>24</v>
      </c>
      <c r="L28" s="252" t="s">
        <v>156</v>
      </c>
      <c r="M28" s="265">
        <v>27780</v>
      </c>
      <c r="N28" s="253" t="s">
        <v>130</v>
      </c>
    </row>
    <row r="29" spans="3:14">
      <c r="C29" s="504"/>
      <c r="D29" s="515"/>
      <c r="E29" s="507"/>
      <c r="F29" s="254"/>
      <c r="G29" s="261"/>
      <c r="H29" s="262"/>
      <c r="I29" s="268"/>
      <c r="K29" s="266">
        <v>25</v>
      </c>
      <c r="L29" s="252" t="s">
        <v>157</v>
      </c>
      <c r="M29" s="265">
        <v>19740</v>
      </c>
      <c r="N29" s="253" t="s">
        <v>130</v>
      </c>
    </row>
    <row r="30" spans="3:14">
      <c r="C30" s="504"/>
      <c r="D30" s="515"/>
      <c r="E30" s="507"/>
      <c r="F30" s="254"/>
      <c r="G30" s="261"/>
      <c r="H30" s="262"/>
      <c r="I30" s="268"/>
      <c r="K30" s="266">
        <v>26</v>
      </c>
      <c r="L30" s="252" t="s">
        <v>158</v>
      </c>
      <c r="M30" s="265">
        <v>17250</v>
      </c>
      <c r="N30" s="253" t="s">
        <v>130</v>
      </c>
    </row>
    <row r="31" spans="3:14">
      <c r="C31" s="504"/>
      <c r="D31" s="515"/>
      <c r="E31" s="507"/>
      <c r="F31" s="254"/>
      <c r="G31" s="261"/>
      <c r="H31" s="262"/>
      <c r="I31" s="268"/>
      <c r="K31" s="266">
        <v>27</v>
      </c>
      <c r="L31" s="252" t="s">
        <v>159</v>
      </c>
      <c r="M31" s="265">
        <v>8811</v>
      </c>
      <c r="N31" s="253" t="s">
        <v>130</v>
      </c>
    </row>
    <row r="32" spans="3:14">
      <c r="C32" s="504"/>
      <c r="D32" s="515"/>
      <c r="E32" s="507"/>
      <c r="F32" s="254"/>
      <c r="G32" s="261"/>
      <c r="H32" s="263"/>
      <c r="I32" s="268"/>
      <c r="K32" s="266">
        <v>28</v>
      </c>
      <c r="L32" s="252" t="s">
        <v>160</v>
      </c>
      <c r="M32" s="265">
        <v>35616</v>
      </c>
      <c r="N32" s="253" t="s">
        <v>130</v>
      </c>
    </row>
    <row r="33" spans="3:14">
      <c r="C33" s="504"/>
      <c r="D33" s="515"/>
      <c r="E33" s="507"/>
      <c r="F33" s="254"/>
      <c r="G33" s="261"/>
      <c r="H33" s="263"/>
      <c r="I33" s="268"/>
      <c r="K33" s="266">
        <v>29</v>
      </c>
      <c r="L33" s="252" t="s">
        <v>161</v>
      </c>
      <c r="M33" s="265">
        <v>3300</v>
      </c>
      <c r="N33" s="253" t="s">
        <v>130</v>
      </c>
    </row>
    <row r="34" spans="3:14">
      <c r="C34" s="504"/>
      <c r="D34" s="515"/>
      <c r="E34" s="507"/>
      <c r="F34" s="254"/>
      <c r="G34" s="261"/>
      <c r="H34" s="263"/>
      <c r="I34" s="268"/>
      <c r="K34" s="266">
        <v>30</v>
      </c>
      <c r="L34" s="252" t="s">
        <v>162</v>
      </c>
      <c r="M34" s="265">
        <v>620</v>
      </c>
      <c r="N34" s="253" t="s">
        <v>130</v>
      </c>
    </row>
    <row r="35" spans="3:14" ht="24">
      <c r="C35" s="504"/>
      <c r="D35" s="515"/>
      <c r="E35" s="508"/>
      <c r="F35" s="256"/>
      <c r="G35" s="261"/>
      <c r="H35" s="263"/>
      <c r="I35" s="268"/>
      <c r="K35" s="266">
        <v>31</v>
      </c>
      <c r="L35" s="252" t="s">
        <v>163</v>
      </c>
      <c r="M35" s="265">
        <v>1400</v>
      </c>
      <c r="N35" s="253" t="s">
        <v>130</v>
      </c>
    </row>
    <row r="36" spans="3:14">
      <c r="C36" s="504"/>
      <c r="D36" s="515"/>
      <c r="E36" s="506"/>
      <c r="F36" s="250"/>
      <c r="G36" s="261"/>
      <c r="H36" s="263"/>
      <c r="I36" s="268"/>
      <c r="K36" s="266">
        <v>32</v>
      </c>
      <c r="L36" s="252" t="s">
        <v>164</v>
      </c>
      <c r="M36" s="265">
        <v>50400</v>
      </c>
      <c r="N36" s="253" t="s">
        <v>130</v>
      </c>
    </row>
    <row r="37" spans="3:14">
      <c r="C37" s="504"/>
      <c r="D37" s="515"/>
      <c r="E37" s="507"/>
      <c r="F37" s="254"/>
      <c r="G37" s="261"/>
      <c r="H37" s="263"/>
      <c r="I37" s="268"/>
      <c r="K37" s="266">
        <v>33</v>
      </c>
      <c r="L37" s="252" t="s">
        <v>146</v>
      </c>
      <c r="M37" s="265">
        <v>2700</v>
      </c>
      <c r="N37" s="253" t="s">
        <v>130</v>
      </c>
    </row>
    <row r="38" spans="3:14">
      <c r="C38" s="504"/>
      <c r="D38" s="515"/>
      <c r="E38" s="507"/>
      <c r="F38" s="254"/>
      <c r="G38" s="261"/>
      <c r="H38" s="263"/>
      <c r="I38" s="268"/>
      <c r="K38" s="266">
        <v>34</v>
      </c>
      <c r="L38" s="252" t="s">
        <v>165</v>
      </c>
      <c r="M38" s="265">
        <v>23750</v>
      </c>
      <c r="N38" s="253" t="s">
        <v>130</v>
      </c>
    </row>
    <row r="39" spans="3:14" ht="24">
      <c r="C39" s="504"/>
      <c r="D39" s="515"/>
      <c r="E39" s="507"/>
      <c r="F39" s="254"/>
      <c r="G39" s="261"/>
      <c r="H39" s="263"/>
      <c r="I39" s="268"/>
      <c r="K39" s="266">
        <v>35</v>
      </c>
      <c r="L39" s="252" t="s">
        <v>166</v>
      </c>
      <c r="M39" s="265">
        <v>4517</v>
      </c>
      <c r="N39" s="253" t="s">
        <v>130</v>
      </c>
    </row>
    <row r="40" spans="3:14">
      <c r="C40" s="504"/>
      <c r="D40" s="515"/>
      <c r="E40" s="507"/>
      <c r="F40" s="254"/>
      <c r="G40" s="261"/>
      <c r="H40" s="263"/>
      <c r="I40" s="268"/>
      <c r="K40" s="266">
        <v>36</v>
      </c>
      <c r="L40" s="252" t="s">
        <v>167</v>
      </c>
      <c r="M40" s="265">
        <v>3750</v>
      </c>
      <c r="N40" s="253" t="s">
        <v>130</v>
      </c>
    </row>
    <row r="41" spans="3:14">
      <c r="C41" s="504"/>
      <c r="D41" s="515"/>
      <c r="E41" s="507"/>
      <c r="F41" s="254"/>
      <c r="G41" s="261"/>
      <c r="H41" s="263"/>
      <c r="I41" s="268"/>
      <c r="K41" s="266">
        <v>37</v>
      </c>
      <c r="L41" s="252" t="s">
        <v>168</v>
      </c>
      <c r="M41" s="265">
        <v>2500</v>
      </c>
      <c r="N41" s="253" t="s">
        <v>130</v>
      </c>
    </row>
    <row r="42" spans="3:14" ht="24">
      <c r="C42" s="504"/>
      <c r="D42" s="515"/>
      <c r="E42" s="507"/>
      <c r="F42" s="254"/>
      <c r="G42" s="261"/>
      <c r="H42" s="263"/>
      <c r="I42" s="268"/>
      <c r="K42" s="266">
        <v>38</v>
      </c>
      <c r="L42" s="252" t="s">
        <v>169</v>
      </c>
      <c r="M42" s="265">
        <v>3750</v>
      </c>
      <c r="N42" s="253" t="s">
        <v>130</v>
      </c>
    </row>
    <row r="43" spans="3:14">
      <c r="C43" s="504"/>
      <c r="D43" s="515"/>
      <c r="E43" s="507"/>
      <c r="F43" s="254"/>
      <c r="G43" s="261"/>
      <c r="H43" s="263"/>
      <c r="I43" s="268"/>
      <c r="K43" s="266">
        <v>39</v>
      </c>
      <c r="L43" s="252" t="s">
        <v>170</v>
      </c>
      <c r="M43" s="265">
        <v>1500</v>
      </c>
      <c r="N43" s="253" t="s">
        <v>130</v>
      </c>
    </row>
    <row r="44" spans="3:14">
      <c r="C44" s="504"/>
      <c r="D44" s="515"/>
      <c r="E44" s="507"/>
      <c r="F44" s="254"/>
      <c r="G44" s="261"/>
      <c r="H44" s="263"/>
      <c r="I44" s="268"/>
      <c r="K44" s="266"/>
      <c r="L44" s="252" t="s">
        <v>171</v>
      </c>
      <c r="M44" s="265">
        <v>1625</v>
      </c>
      <c r="N44" s="253" t="s">
        <v>130</v>
      </c>
    </row>
    <row r="45" spans="3:14" ht="24">
      <c r="C45" s="504"/>
      <c r="D45" s="515"/>
      <c r="E45" s="507"/>
      <c r="F45" s="254"/>
      <c r="G45" s="261"/>
      <c r="H45" s="263"/>
      <c r="I45" s="268"/>
      <c r="K45" s="266"/>
      <c r="L45" s="252" t="s">
        <v>172</v>
      </c>
      <c r="M45" s="265">
        <v>6648</v>
      </c>
      <c r="N45" s="253" t="s">
        <v>130</v>
      </c>
    </row>
    <row r="46" spans="3:14">
      <c r="C46" s="504"/>
      <c r="D46" s="515"/>
      <c r="E46" s="506"/>
      <c r="F46" s="250"/>
      <c r="G46" s="261"/>
      <c r="H46" s="262"/>
      <c r="I46" s="268"/>
      <c r="K46" s="266"/>
      <c r="L46" s="252" t="s">
        <v>173</v>
      </c>
      <c r="M46" s="265">
        <v>1000</v>
      </c>
      <c r="N46" s="253" t="s">
        <v>130</v>
      </c>
    </row>
    <row r="47" spans="3:14">
      <c r="C47" s="504"/>
      <c r="D47" s="515"/>
      <c r="E47" s="507"/>
      <c r="F47" s="254"/>
      <c r="G47" s="261"/>
      <c r="H47" s="262"/>
      <c r="I47" s="268"/>
      <c r="K47" s="266"/>
      <c r="L47" s="252" t="s">
        <v>174</v>
      </c>
      <c r="M47" s="265">
        <v>6000</v>
      </c>
      <c r="N47" s="253" t="s">
        <v>130</v>
      </c>
    </row>
    <row r="48" spans="3:14">
      <c r="C48" s="504"/>
      <c r="D48" s="515"/>
      <c r="E48" s="507"/>
      <c r="F48" s="254"/>
      <c r="G48" s="261"/>
      <c r="H48" s="262"/>
      <c r="I48" s="268"/>
      <c r="K48" s="266"/>
      <c r="L48" s="252" t="s">
        <v>175</v>
      </c>
      <c r="M48" s="265">
        <v>3633325</v>
      </c>
      <c r="N48" s="253" t="s">
        <v>130</v>
      </c>
    </row>
    <row r="49" spans="3:14">
      <c r="C49" s="504"/>
      <c r="D49" s="515"/>
      <c r="E49" s="507"/>
      <c r="F49" s="254"/>
      <c r="G49" s="261"/>
      <c r="H49" s="262"/>
      <c r="I49" s="268"/>
      <c r="K49" s="266"/>
      <c r="L49" s="252" t="s">
        <v>176</v>
      </c>
      <c r="M49" s="265">
        <v>1211161.5</v>
      </c>
      <c r="N49" s="253" t="s">
        <v>130</v>
      </c>
    </row>
    <row r="50" spans="3:14" ht="24">
      <c r="C50" s="504"/>
      <c r="D50" s="515"/>
      <c r="E50" s="507"/>
      <c r="F50" s="254"/>
      <c r="G50" s="261"/>
      <c r="H50" s="262"/>
      <c r="I50" s="268"/>
      <c r="K50" s="266"/>
      <c r="L50" s="252" t="s">
        <v>177</v>
      </c>
      <c r="M50" s="265">
        <v>2099347.02</v>
      </c>
      <c r="N50" s="253" t="s">
        <v>130</v>
      </c>
    </row>
    <row r="51" spans="3:14">
      <c r="C51" s="504"/>
      <c r="D51" s="515"/>
      <c r="E51" s="507"/>
      <c r="F51" s="254"/>
      <c r="G51" s="261"/>
      <c r="H51" s="262"/>
      <c r="I51" s="268"/>
      <c r="K51" s="266"/>
      <c r="L51" s="252" t="s">
        <v>178</v>
      </c>
      <c r="M51" s="265">
        <v>488666.66666666698</v>
      </c>
      <c r="N51" s="253" t="s">
        <v>130</v>
      </c>
    </row>
    <row r="52" spans="3:14">
      <c r="C52" s="504"/>
      <c r="D52" s="515"/>
      <c r="E52" s="508"/>
      <c r="F52" s="256"/>
      <c r="G52" s="261"/>
      <c r="H52" s="262"/>
      <c r="I52" s="268"/>
      <c r="K52" s="266"/>
      <c r="L52" s="252" t="s">
        <v>179</v>
      </c>
      <c r="M52" s="265">
        <v>18000</v>
      </c>
      <c r="N52" s="253" t="s">
        <v>130</v>
      </c>
    </row>
    <row r="53" spans="3:14">
      <c r="C53" s="504"/>
      <c r="D53" s="515"/>
      <c r="E53" s="506"/>
      <c r="F53" s="250"/>
      <c r="G53" s="261"/>
      <c r="H53" s="262"/>
      <c r="I53" s="268"/>
      <c r="K53" s="266"/>
      <c r="L53" s="252" t="s">
        <v>180</v>
      </c>
      <c r="M53" s="265">
        <v>15000</v>
      </c>
      <c r="N53" s="253" t="s">
        <v>130</v>
      </c>
    </row>
    <row r="54" spans="3:14">
      <c r="C54" s="504"/>
      <c r="D54" s="515"/>
      <c r="E54" s="507"/>
      <c r="F54" s="254"/>
      <c r="G54" s="261"/>
      <c r="H54" s="262"/>
      <c r="I54" s="268"/>
      <c r="K54" s="266"/>
      <c r="L54" s="252" t="s">
        <v>181</v>
      </c>
      <c r="M54" s="265">
        <v>148000</v>
      </c>
      <c r="N54" s="253" t="s">
        <v>130</v>
      </c>
    </row>
    <row r="55" spans="3:14">
      <c r="C55" s="504"/>
      <c r="D55" s="515"/>
      <c r="E55" s="507"/>
      <c r="F55" s="254"/>
      <c r="G55" s="261"/>
      <c r="H55" s="262"/>
      <c r="I55" s="268"/>
      <c r="K55" s="266"/>
      <c r="L55" s="252" t="s">
        <v>182</v>
      </c>
      <c r="M55" s="265">
        <v>170000</v>
      </c>
      <c r="N55" s="253" t="s">
        <v>130</v>
      </c>
    </row>
    <row r="56" spans="3:14">
      <c r="C56" s="504"/>
      <c r="D56" s="515"/>
      <c r="E56" s="508"/>
      <c r="F56" s="256"/>
      <c r="G56" s="261"/>
      <c r="H56" s="262"/>
      <c r="I56" s="268"/>
      <c r="K56" s="266"/>
      <c r="L56" s="269" t="s">
        <v>183</v>
      </c>
      <c r="M56" s="269"/>
      <c r="N56" s="253" t="s">
        <v>130</v>
      </c>
    </row>
    <row r="57" spans="3:14">
      <c r="C57" s="504"/>
      <c r="D57" s="515"/>
      <c r="E57" s="506"/>
      <c r="F57" s="250"/>
      <c r="G57" s="261"/>
      <c r="H57" s="262"/>
      <c r="I57" s="268"/>
      <c r="K57" s="266"/>
      <c r="L57" s="252" t="s">
        <v>184</v>
      </c>
      <c r="M57" s="265">
        <v>8811</v>
      </c>
      <c r="N57" s="253" t="s">
        <v>130</v>
      </c>
    </row>
    <row r="58" spans="3:14">
      <c r="C58" s="504"/>
      <c r="D58" s="515"/>
      <c r="E58" s="507"/>
      <c r="F58" s="254"/>
      <c r="G58" s="261"/>
      <c r="H58" s="262"/>
      <c r="I58" s="268"/>
      <c r="K58" s="266"/>
      <c r="L58" s="252" t="s">
        <v>185</v>
      </c>
      <c r="M58" s="269"/>
      <c r="N58" s="253" t="s">
        <v>130</v>
      </c>
    </row>
    <row r="59" spans="3:14">
      <c r="C59" s="504"/>
      <c r="D59" s="515"/>
      <c r="E59" s="507"/>
      <c r="F59" s="254"/>
      <c r="G59" s="261"/>
      <c r="H59" s="262"/>
      <c r="I59" s="268"/>
      <c r="K59" s="266"/>
      <c r="L59" s="252" t="s">
        <v>186</v>
      </c>
      <c r="M59" s="269"/>
      <c r="N59" s="253" t="s">
        <v>130</v>
      </c>
    </row>
    <row r="60" spans="3:14">
      <c r="C60" s="504"/>
      <c r="D60" s="515"/>
      <c r="E60" s="507"/>
      <c r="F60" s="254"/>
      <c r="G60" s="261"/>
      <c r="H60" s="262"/>
      <c r="I60" s="268"/>
      <c r="K60" s="270"/>
      <c r="L60" s="271"/>
      <c r="M60" s="271"/>
      <c r="N60" s="253" t="s">
        <v>130</v>
      </c>
    </row>
    <row r="61" spans="3:14">
      <c r="C61" s="504"/>
      <c r="D61" s="515"/>
      <c r="E61" s="508"/>
      <c r="F61" s="256"/>
      <c r="G61" s="261"/>
      <c r="H61" s="262"/>
      <c r="I61" s="268"/>
      <c r="K61" s="270"/>
      <c r="L61" s="271"/>
      <c r="M61" s="271"/>
      <c r="N61" s="253" t="s">
        <v>130</v>
      </c>
    </row>
    <row r="62" spans="3:14">
      <c r="C62" s="504"/>
      <c r="D62" s="515"/>
      <c r="E62" s="506"/>
      <c r="F62" s="250"/>
      <c r="G62" s="261"/>
      <c r="H62" s="262"/>
      <c r="I62" s="268"/>
      <c r="K62" s="270"/>
      <c r="L62" s="271"/>
      <c r="M62" s="271"/>
      <c r="N62" s="253" t="s">
        <v>130</v>
      </c>
    </row>
    <row r="63" spans="3:14">
      <c r="C63" s="504"/>
      <c r="D63" s="515"/>
      <c r="E63" s="507"/>
      <c r="F63" s="254"/>
      <c r="G63" s="261"/>
      <c r="H63" s="262"/>
      <c r="I63" s="268"/>
      <c r="K63" s="270"/>
      <c r="L63" s="271"/>
      <c r="M63" s="271"/>
      <c r="N63" s="253" t="s">
        <v>130</v>
      </c>
    </row>
    <row r="64" spans="3:14">
      <c r="C64" s="504"/>
      <c r="D64" s="515"/>
      <c r="E64" s="508"/>
      <c r="F64" s="256"/>
      <c r="G64" s="261"/>
      <c r="H64" s="262"/>
      <c r="I64" s="268"/>
      <c r="K64" s="270"/>
      <c r="L64" s="271"/>
      <c r="M64" s="271"/>
      <c r="N64" s="253" t="s">
        <v>130</v>
      </c>
    </row>
    <row r="65" spans="3:14">
      <c r="C65" s="504"/>
      <c r="D65" s="515"/>
      <c r="E65" s="506"/>
      <c r="F65" s="250"/>
      <c r="G65" s="261"/>
      <c r="H65" s="262"/>
      <c r="I65" s="280"/>
      <c r="K65" s="270"/>
      <c r="L65" s="271"/>
      <c r="M65" s="271"/>
      <c r="N65" s="253" t="s">
        <v>130</v>
      </c>
    </row>
    <row r="66" spans="3:14">
      <c r="C66" s="504"/>
      <c r="D66" s="515"/>
      <c r="E66" s="507"/>
      <c r="F66" s="254"/>
      <c r="G66" s="261"/>
      <c r="H66" s="262"/>
      <c r="I66" s="280"/>
      <c r="K66" s="270"/>
      <c r="L66" s="271"/>
      <c r="M66" s="271"/>
      <c r="N66" s="253" t="s">
        <v>130</v>
      </c>
    </row>
    <row r="67" spans="3:14">
      <c r="C67" s="504"/>
      <c r="D67" s="515"/>
      <c r="E67" s="507"/>
      <c r="F67" s="254"/>
      <c r="G67" s="261"/>
      <c r="H67" s="262"/>
      <c r="I67" s="280"/>
      <c r="L67" s="71"/>
      <c r="M67" s="71"/>
      <c r="N67" s="71"/>
    </row>
    <row r="68" spans="3:14">
      <c r="C68" s="504"/>
      <c r="D68" s="515"/>
      <c r="E68" s="507"/>
      <c r="F68" s="254"/>
      <c r="G68" s="261"/>
      <c r="H68" s="262"/>
      <c r="I68" s="280"/>
      <c r="L68" s="71"/>
      <c r="M68" s="71"/>
      <c r="N68" s="71"/>
    </row>
    <row r="69" spans="3:14">
      <c r="C69" s="504"/>
      <c r="D69" s="515"/>
      <c r="E69" s="507"/>
      <c r="F69" s="254"/>
      <c r="G69" s="261"/>
      <c r="H69" s="262"/>
      <c r="I69" s="280"/>
      <c r="L69" s="71"/>
      <c r="M69" s="71"/>
      <c r="N69" s="71"/>
    </row>
    <row r="70" spans="3:14">
      <c r="C70" s="504"/>
      <c r="D70" s="515"/>
      <c r="E70" s="507"/>
      <c r="F70" s="254"/>
      <c r="G70" s="261"/>
      <c r="H70" s="262"/>
      <c r="I70" s="280"/>
      <c r="L70" s="71"/>
      <c r="M70" s="71"/>
      <c r="N70" s="71"/>
    </row>
    <row r="71" spans="3:14">
      <c r="C71" s="504"/>
      <c r="D71" s="515"/>
      <c r="E71" s="507"/>
      <c r="F71" s="254"/>
      <c r="G71" s="261"/>
      <c r="H71" s="262"/>
      <c r="I71" s="280"/>
      <c r="L71" s="71"/>
      <c r="M71" s="71"/>
      <c r="N71" s="71"/>
    </row>
    <row r="72" spans="3:14">
      <c r="C72" s="504"/>
      <c r="D72" s="515"/>
      <c r="E72" s="507"/>
      <c r="F72" s="254"/>
      <c r="G72" s="261"/>
      <c r="H72" s="262"/>
      <c r="I72" s="280"/>
      <c r="L72" s="71"/>
      <c r="M72" s="71"/>
      <c r="N72" s="71"/>
    </row>
    <row r="73" spans="3:14">
      <c r="C73" s="504"/>
      <c r="D73" s="515"/>
      <c r="E73" s="507"/>
      <c r="F73" s="254"/>
      <c r="G73" s="261"/>
      <c r="H73" s="262"/>
      <c r="I73" s="280"/>
      <c r="L73" s="71"/>
      <c r="M73" s="71"/>
      <c r="N73" s="71"/>
    </row>
    <row r="74" spans="3:14">
      <c r="C74" s="504"/>
      <c r="D74" s="515"/>
      <c r="E74" s="507"/>
      <c r="F74" s="254"/>
      <c r="G74" s="261"/>
      <c r="H74" s="262"/>
      <c r="I74" s="280"/>
      <c r="L74" s="71"/>
      <c r="M74" s="71"/>
      <c r="N74" s="71"/>
    </row>
    <row r="75" spans="3:14">
      <c r="C75" s="504"/>
      <c r="D75" s="515"/>
      <c r="E75" s="507"/>
      <c r="F75" s="254"/>
      <c r="G75" s="261"/>
      <c r="H75" s="262"/>
      <c r="I75" s="280"/>
      <c r="L75" s="71"/>
      <c r="M75" s="71"/>
      <c r="N75" s="71"/>
    </row>
    <row r="76" spans="3:14">
      <c r="C76" s="504"/>
      <c r="D76" s="515"/>
      <c r="E76" s="507"/>
      <c r="F76" s="254"/>
      <c r="G76" s="261"/>
      <c r="H76" s="262"/>
      <c r="I76" s="280"/>
      <c r="L76" s="71"/>
      <c r="M76" s="71"/>
      <c r="N76" s="71"/>
    </row>
    <row r="77" spans="3:14">
      <c r="C77" s="504"/>
      <c r="D77" s="515"/>
      <c r="E77" s="507"/>
      <c r="F77" s="254"/>
      <c r="G77" s="261"/>
      <c r="H77" s="262"/>
      <c r="I77" s="280"/>
      <c r="L77" s="71"/>
      <c r="M77" s="71"/>
      <c r="N77" s="71"/>
    </row>
    <row r="78" spans="3:14">
      <c r="C78" s="504"/>
      <c r="D78" s="515"/>
      <c r="E78" s="507"/>
      <c r="F78" s="254"/>
      <c r="G78" s="261"/>
      <c r="H78" s="262"/>
      <c r="I78" s="280"/>
      <c r="L78" s="71"/>
      <c r="M78" s="71"/>
      <c r="N78" s="71"/>
    </row>
    <row r="79" spans="3:14">
      <c r="C79" s="504"/>
      <c r="D79" s="515"/>
      <c r="E79" s="506"/>
      <c r="F79" s="250"/>
      <c r="G79" s="261"/>
      <c r="H79" s="262"/>
      <c r="I79" s="268"/>
      <c r="L79" s="71"/>
      <c r="M79" s="71"/>
      <c r="N79" s="71"/>
    </row>
    <row r="80" spans="3:14">
      <c r="C80" s="504"/>
      <c r="D80" s="515"/>
      <c r="E80" s="507"/>
      <c r="F80" s="254"/>
      <c r="G80" s="261"/>
      <c r="H80" s="262"/>
      <c r="I80" s="268"/>
      <c r="L80" s="71"/>
      <c r="M80" s="71"/>
      <c r="N80" s="71"/>
    </row>
    <row r="81" spans="3:14">
      <c r="C81" s="504"/>
      <c r="D81" s="515"/>
      <c r="E81" s="507"/>
      <c r="F81" s="254"/>
      <c r="G81" s="261"/>
      <c r="H81" s="262"/>
      <c r="I81" s="268"/>
      <c r="L81" s="71"/>
      <c r="M81" s="71"/>
      <c r="N81" s="71"/>
    </row>
    <row r="82" spans="3:14">
      <c r="C82" s="504"/>
      <c r="D82" s="515"/>
      <c r="E82" s="507"/>
      <c r="F82" s="254"/>
      <c r="G82" s="261"/>
      <c r="H82" s="262"/>
      <c r="I82" s="268"/>
      <c r="L82" s="71"/>
      <c r="M82" s="71"/>
      <c r="N82" s="71"/>
    </row>
    <row r="83" spans="3:14">
      <c r="C83" s="504"/>
      <c r="D83" s="515"/>
      <c r="E83" s="507"/>
      <c r="F83" s="254"/>
      <c r="G83" s="261"/>
      <c r="H83" s="262"/>
      <c r="I83" s="268"/>
      <c r="L83" s="71"/>
      <c r="M83" s="71"/>
      <c r="N83" s="71"/>
    </row>
    <row r="84" spans="3:14">
      <c r="C84" s="504"/>
      <c r="D84" s="515"/>
      <c r="E84" s="506"/>
      <c r="F84" s="250"/>
      <c r="G84" s="261"/>
      <c r="H84" s="262"/>
      <c r="I84" s="268"/>
      <c r="L84" s="71"/>
      <c r="M84" s="71"/>
      <c r="N84" s="71"/>
    </row>
    <row r="85" spans="3:14">
      <c r="C85" s="504"/>
      <c r="D85" s="515"/>
      <c r="E85" s="507"/>
      <c r="F85" s="254"/>
      <c r="G85" s="261"/>
      <c r="H85" s="262"/>
      <c r="I85" s="268"/>
      <c r="L85" s="71"/>
      <c r="M85" s="71"/>
      <c r="N85" s="71"/>
    </row>
    <row r="86" spans="3:14">
      <c r="C86" s="504"/>
      <c r="D86" s="515"/>
      <c r="E86" s="508"/>
      <c r="F86" s="256"/>
      <c r="G86" s="261"/>
      <c r="H86" s="262"/>
      <c r="I86" s="268"/>
      <c r="L86" s="71"/>
      <c r="M86" s="71"/>
      <c r="N86" s="71"/>
    </row>
    <row r="87" spans="3:14">
      <c r="C87" s="504"/>
      <c r="D87" s="515"/>
      <c r="E87" s="256"/>
      <c r="F87" s="256"/>
      <c r="G87" s="261"/>
      <c r="H87" s="262"/>
      <c r="I87" s="268"/>
      <c r="L87" s="71"/>
      <c r="M87" s="71"/>
      <c r="N87" s="71"/>
    </row>
    <row r="88" spans="3:14">
      <c r="C88" s="504"/>
      <c r="D88" s="515"/>
      <c r="E88" s="250"/>
      <c r="F88" s="250"/>
      <c r="G88" s="261"/>
      <c r="H88" s="262"/>
      <c r="I88" s="268"/>
      <c r="L88" s="71"/>
      <c r="M88" s="71"/>
      <c r="N88" s="71"/>
    </row>
    <row r="89" spans="3:14">
      <c r="C89" s="504"/>
      <c r="D89" s="516"/>
      <c r="E89" s="272"/>
      <c r="F89" s="273"/>
      <c r="G89" s="274"/>
      <c r="H89" s="262"/>
      <c r="I89" s="268"/>
      <c r="L89" s="71"/>
      <c r="M89" s="71"/>
      <c r="N89" s="71"/>
    </row>
    <row r="90" spans="3:14">
      <c r="C90" s="504"/>
      <c r="D90" s="516"/>
      <c r="E90" s="272"/>
      <c r="F90" s="275"/>
      <c r="G90" s="276"/>
      <c r="H90" s="277"/>
      <c r="I90" s="281"/>
      <c r="L90" s="71"/>
      <c r="M90" s="71"/>
      <c r="N90" s="71"/>
    </row>
    <row r="91" spans="3:14">
      <c r="C91" s="504"/>
      <c r="D91" s="516"/>
      <c r="E91" s="272"/>
      <c r="F91" s="275"/>
      <c r="G91" s="276"/>
      <c r="H91" s="277"/>
      <c r="I91" s="281"/>
      <c r="L91" s="71"/>
      <c r="M91" s="71"/>
      <c r="N91" s="71"/>
    </row>
    <row r="92" spans="3:14">
      <c r="C92" s="505" t="s">
        <v>69</v>
      </c>
      <c r="D92" s="517" t="s">
        <v>70</v>
      </c>
      <c r="E92" s="507"/>
      <c r="F92" s="254"/>
      <c r="G92" s="261"/>
      <c r="H92" s="262"/>
      <c r="I92" s="268"/>
      <c r="L92" s="71"/>
      <c r="M92" s="71"/>
      <c r="N92" s="71"/>
    </row>
    <row r="93" spans="3:14">
      <c r="C93" s="505"/>
      <c r="D93" s="518"/>
      <c r="E93" s="507"/>
      <c r="F93" s="254"/>
      <c r="G93" s="278"/>
      <c r="H93" s="262"/>
      <c r="I93" s="282"/>
      <c r="L93" s="71"/>
      <c r="M93" s="71"/>
      <c r="N93" s="71"/>
    </row>
    <row r="94" spans="3:14">
      <c r="C94" s="505"/>
      <c r="D94" s="518"/>
      <c r="E94" s="507"/>
      <c r="F94" s="254"/>
      <c r="G94" s="278"/>
      <c r="H94" s="262"/>
      <c r="I94" s="282"/>
      <c r="L94" s="71"/>
      <c r="M94" s="71"/>
      <c r="N94" s="71"/>
    </row>
    <row r="95" spans="3:14">
      <c r="C95" s="505"/>
      <c r="D95" s="518"/>
      <c r="E95" s="507"/>
      <c r="F95" s="254"/>
      <c r="G95" s="278"/>
      <c r="H95" s="262"/>
      <c r="I95" s="282"/>
      <c r="L95" s="71"/>
      <c r="M95" s="71"/>
      <c r="N95" s="71"/>
    </row>
    <row r="96" spans="3:14">
      <c r="C96" s="505"/>
      <c r="D96" s="518"/>
      <c r="E96" s="507"/>
      <c r="F96" s="254"/>
      <c r="G96" s="278"/>
      <c r="H96" s="262"/>
      <c r="I96" s="282"/>
      <c r="L96" s="71"/>
      <c r="M96" s="71"/>
      <c r="N96" s="71"/>
    </row>
    <row r="97" spans="3:14">
      <c r="C97" s="505"/>
      <c r="D97" s="518"/>
      <c r="E97" s="507"/>
      <c r="F97" s="254"/>
      <c r="G97" s="278"/>
      <c r="H97" s="262"/>
      <c r="I97" s="282"/>
      <c r="L97" s="71"/>
      <c r="M97" s="71"/>
      <c r="N97" s="71"/>
    </row>
    <row r="98" spans="3:14">
      <c r="C98" s="505"/>
      <c r="D98" s="518"/>
      <c r="E98" s="507"/>
      <c r="F98" s="254"/>
      <c r="G98" s="278"/>
      <c r="H98" s="262"/>
      <c r="I98" s="282"/>
      <c r="L98" s="71"/>
      <c r="M98" s="71"/>
      <c r="N98" s="71"/>
    </row>
    <row r="99" spans="3:14">
      <c r="C99" s="505"/>
      <c r="D99" s="518"/>
      <c r="E99" s="507"/>
      <c r="F99" s="254"/>
      <c r="G99" s="278"/>
      <c r="H99" s="262"/>
      <c r="I99" s="282"/>
      <c r="L99" s="71"/>
      <c r="M99" s="71"/>
      <c r="N99" s="71"/>
    </row>
    <row r="100" spans="3:14">
      <c r="C100" s="505"/>
      <c r="D100" s="518"/>
      <c r="E100" s="507"/>
      <c r="F100" s="254"/>
      <c r="G100" s="278"/>
      <c r="H100" s="262"/>
      <c r="I100" s="282"/>
      <c r="L100" s="71"/>
      <c r="M100" s="71"/>
      <c r="N100" s="71"/>
    </row>
    <row r="101" spans="3:14">
      <c r="C101" s="505"/>
      <c r="D101" s="518"/>
      <c r="E101" s="507"/>
      <c r="F101" s="254"/>
      <c r="G101" s="278"/>
      <c r="H101" s="262"/>
      <c r="I101" s="282"/>
      <c r="L101" s="71"/>
      <c r="M101" s="71"/>
      <c r="N101" s="71"/>
    </row>
    <row r="102" spans="3:14">
      <c r="C102" s="505"/>
      <c r="D102" s="518"/>
      <c r="E102" s="507"/>
      <c r="F102" s="254"/>
      <c r="G102" s="278"/>
      <c r="H102" s="262"/>
      <c r="I102" s="282"/>
      <c r="L102" s="71"/>
      <c r="M102" s="71"/>
      <c r="N102" s="71"/>
    </row>
    <row r="103" spans="3:14">
      <c r="C103" s="505"/>
      <c r="D103" s="518"/>
      <c r="E103" s="507"/>
      <c r="F103" s="254"/>
      <c r="G103" s="278"/>
      <c r="H103" s="262"/>
      <c r="I103" s="282"/>
      <c r="L103" s="71"/>
      <c r="M103" s="71"/>
      <c r="N103" s="71"/>
    </row>
    <row r="104" spans="3:14">
      <c r="C104" s="505"/>
      <c r="D104" s="518"/>
      <c r="E104" s="507"/>
      <c r="F104" s="254"/>
      <c r="G104" s="278"/>
      <c r="H104" s="262"/>
      <c r="I104" s="282"/>
      <c r="L104" s="71"/>
      <c r="M104" s="71"/>
      <c r="N104" s="71"/>
    </row>
    <row r="105" spans="3:14">
      <c r="C105" s="505"/>
      <c r="D105" s="518"/>
      <c r="E105" s="507"/>
      <c r="F105" s="254"/>
      <c r="G105" s="278"/>
      <c r="H105" s="262"/>
      <c r="I105" s="282"/>
      <c r="L105" s="71"/>
      <c r="M105" s="71"/>
      <c r="N105" s="71"/>
    </row>
    <row r="106" spans="3:14">
      <c r="C106" s="505"/>
      <c r="D106" s="518"/>
      <c r="E106" s="507"/>
      <c r="F106" s="254"/>
      <c r="G106" s="278"/>
      <c r="H106" s="262"/>
      <c r="I106" s="282"/>
      <c r="L106" s="71"/>
      <c r="M106" s="71"/>
      <c r="N106" s="71"/>
    </row>
    <row r="107" spans="3:14">
      <c r="C107" s="505"/>
      <c r="D107" s="518"/>
      <c r="E107" s="507"/>
      <c r="F107" s="254"/>
      <c r="G107" s="278"/>
      <c r="H107" s="262"/>
      <c r="I107" s="282"/>
      <c r="L107" s="71"/>
      <c r="M107" s="71"/>
      <c r="N107" s="71"/>
    </row>
    <row r="108" spans="3:14">
      <c r="C108" s="505"/>
      <c r="D108" s="518"/>
      <c r="E108" s="507"/>
      <c r="F108" s="254"/>
      <c r="G108" s="278"/>
      <c r="H108" s="262"/>
      <c r="I108" s="282"/>
      <c r="L108" s="71"/>
      <c r="M108" s="71"/>
      <c r="N108" s="71"/>
    </row>
    <row r="109" spans="3:14">
      <c r="C109" s="505"/>
      <c r="D109" s="518"/>
      <c r="E109" s="507"/>
      <c r="F109" s="254"/>
      <c r="G109" s="278"/>
      <c r="H109" s="262"/>
      <c r="I109" s="282"/>
      <c r="L109" s="71"/>
      <c r="M109" s="71"/>
      <c r="N109" s="71"/>
    </row>
    <row r="110" spans="3:14">
      <c r="C110" s="505"/>
      <c r="D110" s="518"/>
      <c r="E110" s="507"/>
      <c r="F110" s="254"/>
      <c r="G110" s="278"/>
      <c r="H110" s="262"/>
      <c r="I110" s="282"/>
      <c r="L110" s="71"/>
      <c r="M110" s="71"/>
      <c r="N110" s="71"/>
    </row>
    <row r="111" spans="3:14">
      <c r="C111" s="505"/>
      <c r="D111" s="518"/>
      <c r="E111" s="507"/>
      <c r="F111" s="254"/>
      <c r="G111" s="278"/>
      <c r="H111" s="262"/>
      <c r="I111" s="282"/>
      <c r="L111" s="71"/>
      <c r="M111" s="71"/>
      <c r="N111" s="71"/>
    </row>
    <row r="112" spans="3:14">
      <c r="C112" s="505"/>
      <c r="D112" s="518"/>
      <c r="E112" s="507"/>
      <c r="F112" s="254"/>
      <c r="G112" s="278"/>
      <c r="H112" s="262"/>
      <c r="I112" s="282"/>
      <c r="L112" s="71"/>
      <c r="M112" s="71"/>
      <c r="N112" s="71"/>
    </row>
    <row r="113" spans="3:14">
      <c r="C113" s="505"/>
      <c r="D113" s="518"/>
      <c r="E113" s="507"/>
      <c r="F113" s="254"/>
      <c r="G113" s="278"/>
      <c r="H113" s="262"/>
      <c r="I113" s="282"/>
      <c r="L113" s="71"/>
      <c r="M113" s="71"/>
      <c r="N113" s="71"/>
    </row>
    <row r="114" spans="3:14">
      <c r="C114" s="505"/>
      <c r="D114" s="518"/>
      <c r="E114" s="507"/>
      <c r="F114" s="254"/>
      <c r="G114" s="278"/>
      <c r="H114" s="262"/>
      <c r="I114" s="282"/>
      <c r="L114" s="71"/>
      <c r="M114" s="71"/>
      <c r="N114" s="71"/>
    </row>
    <row r="115" spans="3:14">
      <c r="C115" s="505"/>
      <c r="D115" s="518"/>
      <c r="E115" s="507"/>
      <c r="F115" s="254"/>
      <c r="G115" s="278"/>
      <c r="H115" s="262"/>
      <c r="I115" s="282"/>
      <c r="L115" s="71"/>
      <c r="M115" s="71"/>
      <c r="N115" s="71"/>
    </row>
    <row r="116" spans="3:14">
      <c r="C116" s="505"/>
      <c r="D116" s="518"/>
      <c r="E116" s="507"/>
      <c r="F116" s="254"/>
      <c r="G116" s="278"/>
      <c r="H116" s="262"/>
      <c r="I116" s="282"/>
      <c r="L116" s="71"/>
      <c r="M116" s="71"/>
      <c r="N116" s="71"/>
    </row>
    <row r="117" spans="3:14">
      <c r="C117" s="505"/>
      <c r="D117" s="518"/>
      <c r="E117" s="507"/>
      <c r="F117" s="254"/>
      <c r="G117" s="278"/>
      <c r="H117" s="262"/>
      <c r="I117" s="282"/>
      <c r="L117" s="71"/>
      <c r="M117" s="71"/>
      <c r="N117" s="71"/>
    </row>
    <row r="118" spans="3:14">
      <c r="C118" s="505"/>
      <c r="D118" s="518"/>
      <c r="E118" s="507"/>
      <c r="F118" s="254"/>
      <c r="G118" s="278"/>
      <c r="H118" s="262"/>
      <c r="I118" s="282"/>
      <c r="L118" s="71"/>
      <c r="M118" s="71"/>
      <c r="N118" s="71"/>
    </row>
    <row r="119" spans="3:14">
      <c r="C119" s="505"/>
      <c r="D119" s="518"/>
      <c r="E119" s="507"/>
      <c r="F119" s="254"/>
      <c r="G119" s="278"/>
      <c r="H119" s="262"/>
      <c r="I119" s="282"/>
      <c r="L119" s="71"/>
      <c r="M119" s="71"/>
      <c r="N119" s="71"/>
    </row>
    <row r="120" spans="3:14">
      <c r="C120" s="505"/>
      <c r="D120" s="518"/>
      <c r="E120" s="507"/>
      <c r="F120" s="254"/>
      <c r="G120" s="278"/>
      <c r="H120" s="262"/>
      <c r="I120" s="282"/>
      <c r="L120" s="71"/>
      <c r="M120" s="71"/>
      <c r="N120" s="71"/>
    </row>
    <row r="121" spans="3:14">
      <c r="C121" s="505"/>
      <c r="D121" s="518"/>
      <c r="E121" s="507"/>
      <c r="F121" s="254"/>
      <c r="G121" s="278"/>
      <c r="H121" s="262"/>
      <c r="I121" s="282"/>
      <c r="L121" s="71"/>
      <c r="M121" s="71"/>
      <c r="N121" s="71"/>
    </row>
    <row r="122" spans="3:14">
      <c r="C122" s="505"/>
      <c r="D122" s="518"/>
      <c r="E122" s="507"/>
      <c r="F122" s="254"/>
      <c r="G122" s="278"/>
      <c r="H122" s="262"/>
      <c r="I122" s="282"/>
      <c r="L122" s="71"/>
      <c r="M122" s="71"/>
      <c r="N122" s="71"/>
    </row>
    <row r="123" spans="3:14">
      <c r="C123" s="505"/>
      <c r="D123" s="518"/>
      <c r="E123" s="507"/>
      <c r="F123" s="254"/>
      <c r="G123" s="278"/>
      <c r="H123" s="262"/>
      <c r="I123" s="282"/>
      <c r="L123" s="71"/>
      <c r="M123" s="71"/>
      <c r="N123" s="71"/>
    </row>
    <row r="124" spans="3:14">
      <c r="C124" s="505"/>
      <c r="D124" s="518"/>
      <c r="E124" s="507"/>
      <c r="F124" s="254"/>
      <c r="G124" s="278"/>
      <c r="H124" s="262"/>
      <c r="I124" s="282"/>
      <c r="L124" s="71"/>
      <c r="M124" s="71"/>
      <c r="N124" s="71"/>
    </row>
    <row r="125" spans="3:14">
      <c r="C125" s="505"/>
      <c r="D125" s="518"/>
      <c r="E125" s="507"/>
      <c r="F125" s="254"/>
      <c r="G125" s="278"/>
      <c r="H125" s="262"/>
      <c r="I125" s="282"/>
      <c r="L125" s="71"/>
      <c r="M125" s="71"/>
      <c r="N125" s="71"/>
    </row>
    <row r="126" spans="3:14">
      <c r="C126" s="505"/>
      <c r="D126" s="518"/>
      <c r="E126" s="507"/>
      <c r="F126" s="254"/>
      <c r="G126" s="278"/>
      <c r="H126" s="262"/>
      <c r="I126" s="282"/>
      <c r="L126" s="71"/>
      <c r="M126" s="71"/>
      <c r="N126" s="71"/>
    </row>
    <row r="127" spans="3:14">
      <c r="C127" s="505"/>
      <c r="D127" s="518"/>
      <c r="E127" s="508"/>
      <c r="F127" s="256"/>
      <c r="G127" s="278"/>
      <c r="H127" s="262"/>
      <c r="I127" s="282"/>
      <c r="L127" s="71"/>
      <c r="M127" s="71"/>
      <c r="N127" s="71"/>
    </row>
    <row r="128" spans="3:14">
      <c r="C128" s="505"/>
      <c r="D128" s="518"/>
      <c r="E128" s="506"/>
      <c r="F128" s="254"/>
      <c r="G128" s="278"/>
      <c r="H128" s="279"/>
      <c r="I128" s="282"/>
      <c r="L128" s="71"/>
      <c r="M128" s="71"/>
      <c r="N128" s="71"/>
    </row>
    <row r="129" spans="3:14">
      <c r="C129" s="505"/>
      <c r="D129" s="518"/>
      <c r="E129" s="507"/>
      <c r="F129" s="254"/>
      <c r="G129" s="278"/>
      <c r="H129" s="279"/>
      <c r="I129" s="282"/>
      <c r="L129" s="71"/>
      <c r="M129" s="71"/>
      <c r="N129" s="71"/>
    </row>
    <row r="130" spans="3:14">
      <c r="C130" s="505"/>
      <c r="D130" s="518"/>
      <c r="E130" s="507"/>
      <c r="F130" s="254"/>
      <c r="G130" s="278"/>
      <c r="H130" s="279"/>
      <c r="I130" s="282"/>
      <c r="L130" s="71"/>
      <c r="M130" s="71"/>
      <c r="N130" s="71"/>
    </row>
    <row r="131" spans="3:14">
      <c r="C131" s="505"/>
      <c r="D131" s="518"/>
      <c r="E131" s="507"/>
      <c r="F131" s="254"/>
      <c r="G131" s="278"/>
      <c r="H131" s="279"/>
      <c r="I131" s="282"/>
      <c r="L131" s="71"/>
      <c r="M131" s="71"/>
      <c r="N131" s="71"/>
    </row>
    <row r="132" spans="3:14">
      <c r="C132" s="505"/>
      <c r="D132" s="518"/>
      <c r="E132" s="507"/>
      <c r="F132" s="254"/>
      <c r="G132" s="278"/>
      <c r="H132" s="279"/>
      <c r="I132" s="282"/>
      <c r="L132" s="71"/>
      <c r="M132" s="71"/>
      <c r="N132" s="71"/>
    </row>
    <row r="133" spans="3:14">
      <c r="C133" s="505"/>
      <c r="D133" s="518"/>
      <c r="E133" s="507"/>
      <c r="F133" s="254"/>
      <c r="G133" s="278"/>
      <c r="H133" s="279"/>
      <c r="I133" s="282"/>
      <c r="L133" s="71"/>
      <c r="M133" s="71"/>
      <c r="N133" s="71"/>
    </row>
    <row r="134" spans="3:14">
      <c r="C134" s="505"/>
      <c r="D134" s="518"/>
      <c r="E134" s="507"/>
      <c r="F134" s="254"/>
      <c r="G134" s="278"/>
      <c r="H134" s="279"/>
      <c r="I134" s="282"/>
      <c r="L134" s="71"/>
      <c r="M134" s="71"/>
      <c r="N134" s="71"/>
    </row>
    <row r="135" spans="3:14">
      <c r="C135" s="505"/>
      <c r="D135" s="518"/>
      <c r="E135" s="507"/>
      <c r="F135" s="254"/>
      <c r="G135" s="278"/>
      <c r="H135" s="279"/>
      <c r="I135" s="282"/>
      <c r="L135" s="71"/>
      <c r="M135" s="71"/>
      <c r="N135" s="71"/>
    </row>
    <row r="136" spans="3:14">
      <c r="C136" s="505"/>
      <c r="D136" s="518"/>
      <c r="E136" s="507"/>
      <c r="F136" s="254"/>
      <c r="G136" s="278"/>
      <c r="H136" s="279"/>
      <c r="I136" s="282"/>
      <c r="L136" s="71"/>
      <c r="M136" s="71"/>
      <c r="N136" s="71"/>
    </row>
    <row r="137" spans="3:14">
      <c r="C137" s="505"/>
      <c r="D137" s="518"/>
      <c r="E137" s="507"/>
      <c r="F137" s="254"/>
      <c r="G137" s="278"/>
      <c r="H137" s="279"/>
      <c r="I137" s="282"/>
      <c r="L137" s="71"/>
      <c r="M137" s="71"/>
      <c r="N137" s="71"/>
    </row>
    <row r="138" spans="3:14">
      <c r="C138" s="505"/>
      <c r="D138" s="518"/>
      <c r="E138" s="507"/>
      <c r="F138" s="254"/>
      <c r="G138" s="278"/>
      <c r="H138" s="279"/>
      <c r="I138" s="282"/>
      <c r="L138" s="71"/>
      <c r="M138" s="71"/>
      <c r="N138" s="71"/>
    </row>
    <row r="139" spans="3:14">
      <c r="C139" s="505"/>
      <c r="D139" s="518"/>
      <c r="E139" s="507"/>
      <c r="F139" s="254"/>
      <c r="G139" s="278"/>
      <c r="H139" s="279"/>
      <c r="I139" s="282"/>
      <c r="L139" s="71"/>
      <c r="M139" s="71"/>
      <c r="N139" s="71"/>
    </row>
    <row r="140" spans="3:14">
      <c r="C140" s="505"/>
      <c r="D140" s="518"/>
      <c r="E140" s="507"/>
      <c r="F140" s="254"/>
      <c r="G140" s="278"/>
      <c r="H140" s="279"/>
      <c r="I140" s="282"/>
      <c r="L140" s="71"/>
      <c r="M140" s="71"/>
      <c r="N140" s="71"/>
    </row>
    <row r="141" spans="3:14">
      <c r="C141" s="505"/>
      <c r="D141" s="518"/>
      <c r="E141" s="507"/>
      <c r="F141" s="254"/>
      <c r="G141" s="278"/>
      <c r="H141" s="279"/>
      <c r="I141" s="282"/>
      <c r="L141" s="71"/>
      <c r="M141" s="71"/>
      <c r="N141" s="71"/>
    </row>
    <row r="142" spans="3:14">
      <c r="C142" s="505"/>
      <c r="D142" s="518"/>
      <c r="E142" s="507"/>
      <c r="F142" s="254"/>
      <c r="G142" s="278"/>
      <c r="H142" s="279"/>
      <c r="I142" s="282"/>
      <c r="L142" s="71"/>
      <c r="M142" s="71"/>
      <c r="N142" s="71"/>
    </row>
    <row r="143" spans="3:14">
      <c r="C143" s="505"/>
      <c r="D143" s="518"/>
      <c r="E143" s="507"/>
      <c r="F143" s="254"/>
      <c r="G143" s="278"/>
      <c r="H143" s="279"/>
      <c r="I143" s="282"/>
      <c r="L143" s="71"/>
      <c r="M143" s="71"/>
      <c r="N143" s="71"/>
    </row>
    <row r="144" spans="3:14">
      <c r="C144" s="505"/>
      <c r="D144" s="518"/>
      <c r="E144" s="507"/>
      <c r="F144" s="254"/>
      <c r="G144" s="278"/>
      <c r="H144" s="279"/>
      <c r="I144" s="282"/>
      <c r="L144" s="71"/>
      <c r="M144" s="71"/>
      <c r="N144" s="71"/>
    </row>
    <row r="145" spans="3:14">
      <c r="C145" s="505"/>
      <c r="D145" s="518"/>
      <c r="E145" s="507"/>
      <c r="F145" s="254"/>
      <c r="G145" s="278"/>
      <c r="H145" s="279"/>
      <c r="I145" s="282"/>
      <c r="L145" s="71"/>
      <c r="M145" s="71"/>
      <c r="N145" s="71"/>
    </row>
    <row r="146" spans="3:14">
      <c r="C146" s="505"/>
      <c r="D146" s="518"/>
      <c r="E146" s="507"/>
      <c r="F146" s="254"/>
      <c r="G146" s="278"/>
      <c r="H146" s="279"/>
      <c r="I146" s="282"/>
      <c r="L146" s="71"/>
      <c r="M146" s="71"/>
      <c r="N146" s="71"/>
    </row>
    <row r="147" spans="3:14">
      <c r="C147" s="505"/>
      <c r="D147" s="518"/>
      <c r="E147" s="507"/>
      <c r="F147" s="254"/>
      <c r="G147" s="278"/>
      <c r="H147" s="279"/>
      <c r="I147" s="282"/>
      <c r="L147" s="71"/>
      <c r="M147" s="71"/>
      <c r="N147" s="71"/>
    </row>
    <row r="148" spans="3:14">
      <c r="C148" s="505"/>
      <c r="D148" s="518"/>
      <c r="E148" s="507"/>
      <c r="F148" s="254"/>
      <c r="G148" s="278"/>
      <c r="H148" s="279"/>
      <c r="I148" s="282"/>
      <c r="L148" s="71"/>
      <c r="M148" s="71"/>
      <c r="N148" s="71"/>
    </row>
    <row r="149" spans="3:14">
      <c r="C149" s="505"/>
      <c r="D149" s="518"/>
      <c r="E149" s="507"/>
      <c r="F149" s="254"/>
      <c r="G149" s="278"/>
      <c r="H149" s="279"/>
      <c r="I149" s="282"/>
      <c r="L149" s="71"/>
      <c r="M149" s="71"/>
      <c r="N149" s="71"/>
    </row>
    <row r="150" spans="3:14">
      <c r="C150" s="505"/>
      <c r="D150" s="518"/>
      <c r="E150" s="507"/>
      <c r="F150" s="254"/>
      <c r="G150" s="278"/>
      <c r="H150" s="279"/>
      <c r="I150" s="282"/>
      <c r="L150" s="71"/>
      <c r="M150" s="71"/>
      <c r="N150" s="71"/>
    </row>
    <row r="151" spans="3:14">
      <c r="C151" s="505"/>
      <c r="D151" s="518"/>
      <c r="E151" s="507"/>
      <c r="F151" s="254"/>
      <c r="G151" s="278"/>
      <c r="H151" s="279"/>
      <c r="I151" s="282"/>
      <c r="L151" s="71"/>
      <c r="M151" s="71"/>
      <c r="N151" s="71"/>
    </row>
    <row r="152" spans="3:14">
      <c r="C152" s="505"/>
      <c r="D152" s="518"/>
      <c r="E152" s="507"/>
      <c r="F152" s="254"/>
      <c r="G152" s="278"/>
      <c r="H152" s="279"/>
      <c r="I152" s="282"/>
      <c r="L152" s="71"/>
      <c r="M152" s="71"/>
      <c r="N152" s="71"/>
    </row>
    <row r="153" spans="3:14">
      <c r="C153" s="505"/>
      <c r="D153" s="518"/>
      <c r="E153" s="507"/>
      <c r="F153" s="254"/>
      <c r="G153" s="278"/>
      <c r="H153" s="279"/>
      <c r="I153" s="282"/>
      <c r="L153" s="71"/>
      <c r="M153" s="71"/>
      <c r="N153" s="71"/>
    </row>
    <row r="154" spans="3:14">
      <c r="C154" s="505"/>
      <c r="D154" s="518"/>
      <c r="E154" s="507"/>
      <c r="F154" s="254"/>
      <c r="G154" s="278"/>
      <c r="H154" s="279"/>
      <c r="I154" s="282"/>
      <c r="L154" s="71"/>
      <c r="M154" s="71"/>
      <c r="N154" s="71"/>
    </row>
    <row r="155" spans="3:14">
      <c r="C155" s="505"/>
      <c r="D155" s="518"/>
      <c r="E155" s="507"/>
      <c r="F155" s="254"/>
      <c r="G155" s="278"/>
      <c r="H155" s="279"/>
      <c r="I155" s="282"/>
      <c r="L155" s="71"/>
      <c r="M155" s="71"/>
      <c r="N155" s="71"/>
    </row>
    <row r="156" spans="3:14">
      <c r="C156" s="505"/>
      <c r="D156" s="518"/>
      <c r="E156" s="507"/>
      <c r="F156" s="254"/>
      <c r="G156" s="278"/>
      <c r="H156" s="279"/>
      <c r="I156" s="282"/>
      <c r="L156" s="71"/>
      <c r="M156" s="71"/>
      <c r="N156" s="71"/>
    </row>
    <row r="157" spans="3:14">
      <c r="C157" s="505"/>
      <c r="D157" s="518"/>
      <c r="E157" s="507"/>
      <c r="F157" s="254"/>
      <c r="G157" s="278"/>
      <c r="H157" s="279"/>
      <c r="I157" s="282"/>
      <c r="L157" s="71"/>
      <c r="M157" s="71"/>
      <c r="N157" s="71"/>
    </row>
    <row r="158" spans="3:14">
      <c r="C158" s="505"/>
      <c r="D158" s="518"/>
      <c r="E158" s="507"/>
      <c r="F158" s="254"/>
      <c r="G158" s="278"/>
      <c r="H158" s="279"/>
      <c r="I158" s="282"/>
      <c r="L158" s="71"/>
      <c r="M158" s="71"/>
      <c r="N158" s="71"/>
    </row>
    <row r="159" spans="3:14">
      <c r="C159" s="505"/>
      <c r="D159" s="518"/>
      <c r="E159" s="507"/>
      <c r="F159" s="254"/>
      <c r="G159" s="278"/>
      <c r="H159" s="279"/>
      <c r="I159" s="282"/>
      <c r="L159" s="71"/>
      <c r="M159" s="71"/>
      <c r="N159" s="71"/>
    </row>
    <row r="160" spans="3:14">
      <c r="C160" s="505"/>
      <c r="D160" s="518"/>
      <c r="E160" s="507"/>
      <c r="F160" s="254"/>
      <c r="G160" s="278"/>
      <c r="H160" s="279"/>
      <c r="I160" s="282"/>
      <c r="L160" s="71"/>
      <c r="M160" s="71"/>
      <c r="N160" s="71"/>
    </row>
    <row r="161" spans="3:14">
      <c r="C161" s="505"/>
      <c r="D161" s="518"/>
      <c r="E161" s="507"/>
      <c r="F161" s="254"/>
      <c r="G161" s="278"/>
      <c r="H161" s="279"/>
      <c r="I161" s="282"/>
      <c r="L161" s="71"/>
      <c r="M161" s="71"/>
      <c r="N161" s="71"/>
    </row>
    <row r="162" spans="3:14">
      <c r="C162" s="505"/>
      <c r="D162" s="518"/>
      <c r="E162" s="507"/>
      <c r="F162" s="254"/>
      <c r="G162" s="278"/>
      <c r="H162" s="279"/>
      <c r="I162" s="282"/>
    </row>
    <row r="163" spans="3:14">
      <c r="C163" s="505"/>
      <c r="D163" s="518"/>
      <c r="E163" s="506"/>
      <c r="F163" s="254"/>
      <c r="G163" s="278"/>
      <c r="H163" s="279"/>
      <c r="I163" s="282"/>
    </row>
    <row r="164" spans="3:14">
      <c r="C164" s="505"/>
      <c r="D164" s="518"/>
      <c r="E164" s="507"/>
      <c r="F164" s="254"/>
      <c r="G164" s="278"/>
      <c r="H164" s="279"/>
      <c r="I164" s="282"/>
    </row>
    <row r="165" spans="3:14">
      <c r="C165" s="505"/>
      <c r="D165" s="518"/>
      <c r="E165" s="507"/>
      <c r="F165" s="254"/>
      <c r="G165" s="278"/>
      <c r="H165" s="279"/>
      <c r="I165" s="282"/>
    </row>
    <row r="166" spans="3:14">
      <c r="C166" s="505"/>
      <c r="D166" s="518"/>
      <c r="E166" s="507"/>
      <c r="F166" s="254"/>
      <c r="G166" s="278"/>
      <c r="H166" s="279"/>
      <c r="I166" s="282"/>
    </row>
    <row r="167" spans="3:14">
      <c r="C167" s="505"/>
      <c r="D167" s="518"/>
      <c r="E167" s="507"/>
      <c r="F167" s="254"/>
      <c r="G167" s="278"/>
      <c r="H167" s="279"/>
      <c r="I167" s="282"/>
    </row>
    <row r="168" spans="3:14">
      <c r="C168" s="505"/>
      <c r="D168" s="518"/>
      <c r="E168" s="507"/>
      <c r="F168" s="254"/>
      <c r="G168" s="278"/>
      <c r="H168" s="279"/>
      <c r="I168" s="282"/>
    </row>
    <row r="169" spans="3:14">
      <c r="C169" s="505"/>
      <c r="D169" s="518"/>
      <c r="E169" s="507"/>
      <c r="F169" s="254"/>
      <c r="G169" s="278"/>
      <c r="H169" s="279"/>
      <c r="I169" s="282"/>
    </row>
    <row r="170" spans="3:14">
      <c r="C170" s="505"/>
      <c r="D170" s="518"/>
      <c r="E170" s="507"/>
      <c r="F170" s="254"/>
      <c r="G170" s="278"/>
      <c r="H170" s="279"/>
      <c r="I170" s="282"/>
    </row>
    <row r="171" spans="3:14">
      <c r="C171" s="505"/>
      <c r="D171" s="518"/>
      <c r="E171" s="507"/>
      <c r="F171" s="254"/>
      <c r="G171" s="278"/>
      <c r="H171" s="279"/>
      <c r="I171" s="282"/>
    </row>
    <row r="172" spans="3:14">
      <c r="C172" s="505"/>
      <c r="D172" s="518"/>
      <c r="E172" s="507"/>
      <c r="F172" s="254"/>
      <c r="G172" s="278"/>
      <c r="H172" s="279"/>
      <c r="I172" s="282"/>
    </row>
    <row r="173" spans="3:14">
      <c r="C173" s="505"/>
      <c r="D173" s="518"/>
      <c r="E173" s="507"/>
      <c r="F173" s="254"/>
      <c r="G173" s="278"/>
      <c r="H173" s="279"/>
      <c r="I173" s="282"/>
    </row>
    <row r="174" spans="3:14">
      <c r="C174" s="505"/>
      <c r="D174" s="518"/>
      <c r="E174" s="507"/>
      <c r="F174" s="254"/>
      <c r="G174" s="278"/>
      <c r="H174" s="279"/>
      <c r="I174" s="282"/>
    </row>
    <row r="175" spans="3:14">
      <c r="C175" s="505"/>
      <c r="D175" s="518"/>
      <c r="E175" s="507"/>
      <c r="F175" s="254"/>
      <c r="G175" s="278"/>
      <c r="H175" s="279"/>
      <c r="I175" s="282"/>
    </row>
    <row r="176" spans="3:14">
      <c r="C176" s="505"/>
      <c r="D176" s="518"/>
      <c r="E176" s="507"/>
      <c r="F176" s="254"/>
      <c r="G176" s="278"/>
      <c r="H176" s="279"/>
      <c r="I176" s="282"/>
    </row>
    <row r="177" spans="3:9">
      <c r="C177" s="505"/>
      <c r="D177" s="518"/>
      <c r="E177" s="507"/>
      <c r="F177" s="254"/>
      <c r="G177" s="278"/>
      <c r="H177" s="279"/>
      <c r="I177" s="282"/>
    </row>
    <row r="178" spans="3:9">
      <c r="C178" s="505"/>
      <c r="D178" s="518"/>
      <c r="E178" s="507"/>
      <c r="F178" s="254"/>
      <c r="G178" s="278"/>
      <c r="H178" s="279"/>
      <c r="I178" s="282"/>
    </row>
    <row r="179" spans="3:9">
      <c r="C179" s="505"/>
      <c r="D179" s="518"/>
      <c r="E179" s="507"/>
      <c r="F179" s="254"/>
      <c r="G179" s="278"/>
      <c r="H179" s="279"/>
      <c r="I179" s="282"/>
    </row>
    <row r="180" spans="3:9">
      <c r="C180" s="505"/>
      <c r="D180" s="518"/>
      <c r="E180" s="507"/>
      <c r="F180" s="254"/>
      <c r="G180" s="278"/>
      <c r="H180" s="279"/>
      <c r="I180" s="282"/>
    </row>
    <row r="181" spans="3:9">
      <c r="C181" s="505"/>
      <c r="D181" s="518"/>
      <c r="E181" s="507"/>
      <c r="F181" s="254"/>
      <c r="G181" s="278"/>
      <c r="H181" s="279"/>
      <c r="I181" s="282"/>
    </row>
    <row r="182" spans="3:9">
      <c r="C182" s="505"/>
      <c r="D182" s="518"/>
      <c r="E182" s="507"/>
      <c r="F182" s="254"/>
      <c r="G182" s="278"/>
      <c r="H182" s="279"/>
      <c r="I182" s="282"/>
    </row>
    <row r="183" spans="3:9">
      <c r="C183" s="505"/>
      <c r="D183" s="518"/>
      <c r="E183" s="507"/>
      <c r="F183" s="254"/>
      <c r="G183" s="278"/>
      <c r="H183" s="279"/>
      <c r="I183" s="282"/>
    </row>
    <row r="184" spans="3:9">
      <c r="C184" s="505"/>
      <c r="D184" s="518"/>
      <c r="E184" s="507"/>
      <c r="F184" s="254"/>
      <c r="G184" s="278"/>
      <c r="H184" s="279"/>
      <c r="I184" s="282"/>
    </row>
    <row r="185" spans="3:9">
      <c r="C185" s="505"/>
      <c r="D185" s="518"/>
      <c r="E185" s="507"/>
      <c r="F185" s="254"/>
      <c r="G185" s="278"/>
      <c r="H185" s="279"/>
      <c r="I185" s="282"/>
    </row>
    <row r="186" spans="3:9">
      <c r="C186" s="505"/>
      <c r="D186" s="518"/>
      <c r="E186" s="507"/>
      <c r="F186" s="254"/>
      <c r="G186" s="278"/>
      <c r="H186" s="279"/>
      <c r="I186" s="282"/>
    </row>
    <row r="187" spans="3:9">
      <c r="C187" s="505"/>
      <c r="D187" s="518"/>
      <c r="E187" s="508"/>
      <c r="F187" s="256"/>
      <c r="G187" s="278"/>
      <c r="H187" s="279"/>
      <c r="I187" s="282"/>
    </row>
    <row r="188" spans="3:9">
      <c r="C188" s="505" t="s">
        <v>74</v>
      </c>
      <c r="D188" s="519" t="s">
        <v>75</v>
      </c>
      <c r="E188" s="506"/>
      <c r="F188" s="250"/>
      <c r="G188" s="261"/>
      <c r="H188" s="279"/>
      <c r="I188" s="280"/>
    </row>
    <row r="189" spans="3:9">
      <c r="C189" s="505"/>
      <c r="D189" s="519"/>
      <c r="E189" s="507"/>
      <c r="F189" s="254"/>
      <c r="G189" s="261"/>
      <c r="H189" s="279"/>
      <c r="I189" s="280"/>
    </row>
    <row r="190" spans="3:9">
      <c r="C190" s="505"/>
      <c r="D190" s="519"/>
      <c r="E190" s="507"/>
      <c r="F190" s="254"/>
      <c r="G190" s="261"/>
      <c r="H190" s="279"/>
      <c r="I190" s="280"/>
    </row>
    <row r="191" spans="3:9">
      <c r="C191" s="505"/>
      <c r="D191" s="519"/>
      <c r="E191" s="507"/>
      <c r="F191" s="254"/>
      <c r="G191" s="261"/>
      <c r="H191" s="279"/>
      <c r="I191" s="280"/>
    </row>
    <row r="192" spans="3:9">
      <c r="C192" s="505"/>
      <c r="D192" s="519"/>
      <c r="E192" s="507"/>
      <c r="F192" s="254"/>
      <c r="G192" s="261"/>
      <c r="H192" s="279"/>
      <c r="I192" s="280"/>
    </row>
    <row r="193" spans="3:9">
      <c r="C193" s="505"/>
      <c r="D193" s="519"/>
      <c r="E193" s="507"/>
      <c r="F193" s="254"/>
      <c r="G193" s="261"/>
      <c r="H193" s="279"/>
      <c r="I193" s="280"/>
    </row>
    <row r="194" spans="3:9">
      <c r="C194" s="505"/>
      <c r="D194" s="519"/>
      <c r="E194" s="507"/>
      <c r="F194" s="254"/>
      <c r="G194" s="261"/>
      <c r="H194" s="279"/>
      <c r="I194" s="280"/>
    </row>
    <row r="195" spans="3:9">
      <c r="C195" s="505"/>
      <c r="D195" s="519"/>
      <c r="E195" s="507"/>
      <c r="F195" s="254"/>
      <c r="G195" s="261"/>
      <c r="H195" s="279"/>
      <c r="I195" s="280"/>
    </row>
    <row r="196" spans="3:9">
      <c r="C196" s="505"/>
      <c r="D196" s="519"/>
      <c r="E196" s="507"/>
      <c r="F196" s="254"/>
      <c r="G196" s="261"/>
      <c r="H196" s="279"/>
      <c r="I196" s="280"/>
    </row>
    <row r="197" spans="3:9">
      <c r="C197" s="505"/>
      <c r="D197" s="519"/>
      <c r="E197" s="507"/>
      <c r="F197" s="254"/>
      <c r="G197" s="261"/>
      <c r="H197" s="279"/>
      <c r="I197" s="280"/>
    </row>
    <row r="198" spans="3:9">
      <c r="C198" s="505"/>
      <c r="D198" s="519"/>
      <c r="E198" s="507"/>
      <c r="F198" s="254"/>
      <c r="G198" s="261"/>
      <c r="H198" s="279"/>
      <c r="I198" s="280"/>
    </row>
    <row r="199" spans="3:9">
      <c r="C199" s="505"/>
      <c r="D199" s="519"/>
      <c r="E199" s="507"/>
      <c r="F199" s="254"/>
      <c r="G199" s="261"/>
      <c r="H199" s="279"/>
      <c r="I199" s="280"/>
    </row>
    <row r="200" spans="3:9">
      <c r="C200" s="505"/>
      <c r="D200" s="519"/>
      <c r="E200" s="507"/>
      <c r="F200" s="254"/>
      <c r="G200" s="261"/>
      <c r="H200" s="279"/>
      <c r="I200" s="280"/>
    </row>
    <row r="201" spans="3:9">
      <c r="C201" s="505"/>
      <c r="D201" s="519"/>
      <c r="E201" s="507"/>
      <c r="F201" s="254"/>
      <c r="G201" s="261"/>
      <c r="H201" s="279"/>
      <c r="I201" s="280"/>
    </row>
    <row r="202" spans="3:9">
      <c r="C202" s="505"/>
      <c r="D202" s="519"/>
      <c r="E202" s="507"/>
      <c r="F202" s="254"/>
      <c r="G202" s="261"/>
      <c r="H202" s="279"/>
      <c r="I202" s="280"/>
    </row>
    <row r="203" spans="3:9">
      <c r="C203" s="505"/>
      <c r="D203" s="519"/>
      <c r="E203" s="507"/>
      <c r="F203" s="254"/>
      <c r="G203" s="261"/>
      <c r="H203" s="279"/>
      <c r="I203" s="280"/>
    </row>
    <row r="204" spans="3:9">
      <c r="C204" s="505"/>
      <c r="D204" s="519"/>
      <c r="E204" s="507"/>
      <c r="F204" s="254"/>
      <c r="G204" s="261"/>
      <c r="H204" s="279"/>
      <c r="I204" s="280"/>
    </row>
    <row r="205" spans="3:9">
      <c r="C205" s="505"/>
      <c r="D205" s="519"/>
      <c r="E205" s="507"/>
      <c r="F205" s="254"/>
      <c r="G205" s="261"/>
      <c r="H205" s="279"/>
      <c r="I205" s="280"/>
    </row>
    <row r="206" spans="3:9">
      <c r="C206" s="505"/>
      <c r="D206" s="519"/>
      <c r="E206" s="507"/>
      <c r="F206" s="254"/>
      <c r="G206" s="261"/>
      <c r="H206" s="279"/>
      <c r="I206" s="280"/>
    </row>
    <row r="207" spans="3:9">
      <c r="C207" s="505"/>
      <c r="D207" s="519"/>
      <c r="E207" s="507"/>
      <c r="F207" s="254"/>
      <c r="G207" s="261"/>
      <c r="H207" s="279"/>
      <c r="I207" s="280"/>
    </row>
    <row r="208" spans="3:9">
      <c r="C208" s="505"/>
      <c r="D208" s="519"/>
      <c r="E208" s="507"/>
      <c r="F208" s="254"/>
      <c r="G208" s="261"/>
      <c r="H208" s="279"/>
      <c r="I208" s="280"/>
    </row>
    <row r="209" spans="3:9">
      <c r="C209" s="505"/>
      <c r="D209" s="519"/>
      <c r="E209" s="507"/>
      <c r="F209" s="254"/>
      <c r="G209" s="261"/>
      <c r="H209" s="279"/>
      <c r="I209" s="280"/>
    </row>
    <row r="210" spans="3:9">
      <c r="C210" s="505"/>
      <c r="D210" s="519"/>
      <c r="E210" s="507"/>
      <c r="F210" s="254"/>
      <c r="G210" s="261"/>
      <c r="H210" s="279"/>
      <c r="I210" s="280"/>
    </row>
    <row r="211" spans="3:9">
      <c r="C211" s="505"/>
      <c r="D211" s="519"/>
      <c r="E211" s="507"/>
      <c r="F211" s="254"/>
      <c r="G211" s="261"/>
      <c r="H211" s="279"/>
      <c r="I211" s="280"/>
    </row>
    <row r="212" spans="3:9">
      <c r="C212" s="505"/>
      <c r="D212" s="519"/>
      <c r="E212" s="506"/>
      <c r="F212" s="250"/>
      <c r="G212" s="261"/>
      <c r="H212" s="262"/>
      <c r="I212" s="268"/>
    </row>
    <row r="213" spans="3:9">
      <c r="C213" s="505"/>
      <c r="D213" s="519"/>
      <c r="E213" s="507"/>
      <c r="F213" s="254"/>
      <c r="G213" s="261"/>
      <c r="H213" s="262"/>
      <c r="I213" s="268"/>
    </row>
    <row r="214" spans="3:9">
      <c r="C214" s="505"/>
      <c r="D214" s="519"/>
      <c r="E214" s="507"/>
      <c r="F214" s="254"/>
      <c r="G214" s="261"/>
      <c r="H214" s="262"/>
      <c r="I214" s="268"/>
    </row>
    <row r="215" spans="3:9">
      <c r="C215" s="505"/>
      <c r="D215" s="519"/>
      <c r="E215" s="507"/>
      <c r="F215" s="254"/>
      <c r="G215" s="261"/>
      <c r="H215" s="262"/>
      <c r="I215" s="268"/>
    </row>
    <row r="216" spans="3:9">
      <c r="C216" s="505"/>
      <c r="D216" s="519"/>
      <c r="E216" s="507"/>
      <c r="F216" s="254"/>
      <c r="G216" s="261"/>
      <c r="H216" s="262"/>
      <c r="I216" s="268"/>
    </row>
    <row r="217" spans="3:9">
      <c r="C217" s="505"/>
      <c r="D217" s="519"/>
      <c r="E217" s="507"/>
      <c r="F217" s="254"/>
      <c r="G217" s="261"/>
      <c r="H217" s="262"/>
      <c r="I217" s="268"/>
    </row>
    <row r="218" spans="3:9">
      <c r="C218" s="505"/>
      <c r="D218" s="519"/>
      <c r="E218" s="507"/>
      <c r="F218" s="254"/>
      <c r="G218" s="261"/>
      <c r="H218" s="262"/>
      <c r="I218" s="268"/>
    </row>
    <row r="219" spans="3:9">
      <c r="C219" s="505"/>
      <c r="D219" s="519"/>
      <c r="E219" s="507"/>
      <c r="F219" s="254"/>
      <c r="G219" s="261"/>
      <c r="H219" s="262"/>
      <c r="I219" s="268"/>
    </row>
    <row r="220" spans="3:9">
      <c r="C220" s="505"/>
      <c r="D220" s="519"/>
      <c r="E220" s="507"/>
      <c r="F220" s="254"/>
      <c r="G220" s="261"/>
      <c r="H220" s="262"/>
      <c r="I220" s="268"/>
    </row>
    <row r="221" spans="3:9">
      <c r="C221" s="505"/>
      <c r="D221" s="519"/>
      <c r="E221" s="507"/>
      <c r="F221" s="254"/>
      <c r="G221" s="261"/>
      <c r="H221" s="262"/>
      <c r="I221" s="268"/>
    </row>
    <row r="222" spans="3:9">
      <c r="C222" s="505"/>
      <c r="D222" s="519"/>
      <c r="E222" s="507"/>
      <c r="F222" s="254"/>
      <c r="G222" s="261"/>
      <c r="H222" s="262"/>
      <c r="I222" s="268"/>
    </row>
    <row r="223" spans="3:9">
      <c r="C223" s="505"/>
      <c r="D223" s="519"/>
      <c r="E223" s="507"/>
      <c r="F223" s="254"/>
      <c r="G223" s="261"/>
      <c r="H223" s="262"/>
      <c r="I223" s="268"/>
    </row>
    <row r="224" spans="3:9">
      <c r="C224" s="505"/>
      <c r="D224" s="519"/>
      <c r="E224" s="507"/>
      <c r="F224" s="254"/>
      <c r="G224" s="261"/>
      <c r="H224" s="262"/>
      <c r="I224" s="268"/>
    </row>
    <row r="225" spans="3:9">
      <c r="C225" s="505"/>
      <c r="D225" s="519"/>
      <c r="E225" s="507"/>
      <c r="F225" s="254"/>
      <c r="G225" s="261"/>
      <c r="H225" s="262"/>
      <c r="I225" s="268"/>
    </row>
    <row r="226" spans="3:9">
      <c r="C226" s="505"/>
      <c r="D226" s="519"/>
      <c r="E226" s="507"/>
      <c r="F226" s="254"/>
      <c r="G226" s="261"/>
      <c r="H226" s="262"/>
      <c r="I226" s="268"/>
    </row>
    <row r="227" spans="3:9">
      <c r="C227" s="505"/>
      <c r="D227" s="519"/>
      <c r="E227" s="507"/>
      <c r="F227" s="254"/>
      <c r="G227" s="261"/>
      <c r="H227" s="262"/>
      <c r="I227" s="268"/>
    </row>
    <row r="228" spans="3:9">
      <c r="C228" s="505"/>
      <c r="D228" s="519"/>
      <c r="E228" s="507"/>
      <c r="F228" s="254"/>
      <c r="G228" s="261"/>
      <c r="H228" s="262"/>
      <c r="I228" s="268"/>
    </row>
    <row r="229" spans="3:9">
      <c r="C229" s="505"/>
      <c r="D229" s="519"/>
      <c r="E229" s="507"/>
      <c r="F229" s="254"/>
      <c r="G229" s="261"/>
      <c r="H229" s="262"/>
      <c r="I229" s="268"/>
    </row>
    <row r="230" spans="3:9">
      <c r="C230" s="505"/>
      <c r="D230" s="519"/>
      <c r="E230" s="507"/>
      <c r="F230" s="254"/>
      <c r="G230" s="261"/>
      <c r="H230" s="262"/>
      <c r="I230" s="268"/>
    </row>
    <row r="231" spans="3:9">
      <c r="C231" s="505"/>
      <c r="D231" s="519"/>
      <c r="E231" s="507"/>
      <c r="F231" s="254"/>
      <c r="G231" s="261"/>
      <c r="H231" s="262"/>
      <c r="I231" s="268"/>
    </row>
    <row r="232" spans="3:9">
      <c r="C232" s="505"/>
      <c r="D232" s="519"/>
      <c r="E232" s="507"/>
      <c r="F232" s="254"/>
      <c r="G232" s="261"/>
      <c r="H232" s="262"/>
      <c r="I232" s="268"/>
    </row>
    <row r="233" spans="3:9">
      <c r="C233" s="505"/>
      <c r="D233" s="519"/>
      <c r="E233" s="508"/>
      <c r="F233" s="256"/>
      <c r="G233" s="261"/>
      <c r="H233" s="262"/>
      <c r="I233" s="268"/>
    </row>
    <row r="234" spans="3:9">
      <c r="C234" s="505"/>
      <c r="D234" s="519"/>
      <c r="E234" s="506"/>
      <c r="F234" s="250"/>
      <c r="G234" s="261"/>
      <c r="H234" s="262"/>
      <c r="I234" s="268"/>
    </row>
    <row r="235" spans="3:9">
      <c r="C235" s="505"/>
      <c r="D235" s="519"/>
      <c r="E235" s="507"/>
      <c r="F235" s="254"/>
      <c r="G235" s="261"/>
      <c r="H235" s="262"/>
      <c r="I235" s="268"/>
    </row>
    <row r="236" spans="3:9">
      <c r="C236" s="505"/>
      <c r="D236" s="519"/>
      <c r="E236" s="507"/>
      <c r="F236" s="254"/>
      <c r="G236" s="261"/>
      <c r="H236" s="262"/>
      <c r="I236" s="268"/>
    </row>
    <row r="237" spans="3:9">
      <c r="C237" s="505"/>
      <c r="D237" s="519"/>
      <c r="E237" s="507"/>
      <c r="F237" s="254"/>
      <c r="G237" s="261"/>
      <c r="H237" s="262"/>
      <c r="I237" s="268"/>
    </row>
    <row r="238" spans="3:9">
      <c r="C238" s="505"/>
      <c r="D238" s="519"/>
      <c r="E238" s="507"/>
      <c r="F238" s="254"/>
      <c r="G238" s="261"/>
      <c r="H238" s="262"/>
      <c r="I238" s="268"/>
    </row>
    <row r="239" spans="3:9">
      <c r="C239" s="505"/>
      <c r="D239" s="519"/>
      <c r="E239" s="507"/>
      <c r="F239" s="254"/>
      <c r="G239" s="261"/>
      <c r="H239" s="262"/>
      <c r="I239" s="268"/>
    </row>
    <row r="240" spans="3:9">
      <c r="C240" s="505"/>
      <c r="D240" s="519"/>
      <c r="E240" s="507"/>
      <c r="F240" s="254"/>
      <c r="G240" s="261"/>
      <c r="H240" s="262"/>
      <c r="I240" s="268"/>
    </row>
    <row r="241" spans="3:9">
      <c r="C241" s="505"/>
      <c r="D241" s="519"/>
      <c r="E241" s="507"/>
      <c r="F241" s="254"/>
      <c r="G241" s="261"/>
      <c r="H241" s="262"/>
      <c r="I241" s="268"/>
    </row>
    <row r="242" spans="3:9">
      <c r="C242" s="505"/>
      <c r="D242" s="519"/>
      <c r="E242" s="507"/>
      <c r="F242" s="254"/>
      <c r="G242" s="261"/>
      <c r="H242" s="262"/>
      <c r="I242" s="268"/>
    </row>
    <row r="243" spans="3:9">
      <c r="C243" s="505"/>
      <c r="D243" s="519"/>
      <c r="E243" s="507"/>
      <c r="F243" s="254"/>
      <c r="G243" s="261"/>
      <c r="H243" s="262"/>
      <c r="I243" s="268"/>
    </row>
    <row r="244" spans="3:9">
      <c r="C244" s="505"/>
      <c r="D244" s="519"/>
      <c r="E244" s="507"/>
      <c r="F244" s="254"/>
      <c r="G244" s="261"/>
      <c r="H244" s="262"/>
      <c r="I244" s="268"/>
    </row>
    <row r="245" spans="3:9">
      <c r="C245" s="505"/>
      <c r="D245" s="519"/>
      <c r="E245" s="507"/>
      <c r="F245" s="254"/>
      <c r="G245" s="261"/>
      <c r="H245" s="262"/>
      <c r="I245" s="268"/>
    </row>
    <row r="246" spans="3:9">
      <c r="C246" s="505"/>
      <c r="D246" s="519"/>
      <c r="E246" s="507"/>
      <c r="F246" s="254"/>
      <c r="G246" s="261"/>
      <c r="H246" s="262"/>
      <c r="I246" s="268"/>
    </row>
    <row r="247" spans="3:9">
      <c r="C247" s="505"/>
      <c r="D247" s="519"/>
      <c r="E247" s="507"/>
      <c r="F247" s="254"/>
      <c r="G247" s="261"/>
      <c r="H247" s="262"/>
      <c r="I247" s="268"/>
    </row>
    <row r="248" spans="3:9">
      <c r="C248" s="505"/>
      <c r="D248" s="519"/>
      <c r="E248" s="507"/>
      <c r="F248" s="254"/>
      <c r="G248" s="261"/>
      <c r="H248" s="262"/>
      <c r="I248" s="268"/>
    </row>
    <row r="249" spans="3:9">
      <c r="C249" s="505"/>
      <c r="D249" s="519"/>
      <c r="E249" s="507"/>
      <c r="F249" s="254"/>
      <c r="G249" s="261"/>
      <c r="H249" s="262"/>
      <c r="I249" s="268"/>
    </row>
    <row r="250" spans="3:9">
      <c r="C250" s="505"/>
      <c r="D250" s="519"/>
      <c r="E250" s="507"/>
      <c r="F250" s="254"/>
      <c r="G250" s="261"/>
      <c r="H250" s="262"/>
      <c r="I250" s="268"/>
    </row>
    <row r="251" spans="3:9">
      <c r="C251" s="505"/>
      <c r="D251" s="519"/>
      <c r="E251" s="507"/>
      <c r="F251" s="254"/>
      <c r="G251" s="261"/>
      <c r="H251" s="262"/>
      <c r="I251" s="268"/>
    </row>
    <row r="252" spans="3:9">
      <c r="C252" s="505"/>
      <c r="D252" s="519"/>
      <c r="E252" s="507"/>
      <c r="F252" s="254"/>
      <c r="G252" s="261"/>
      <c r="H252" s="262"/>
      <c r="I252" s="268"/>
    </row>
    <row r="253" spans="3:9">
      <c r="C253" s="505"/>
      <c r="D253" s="519"/>
      <c r="E253" s="507"/>
      <c r="F253" s="254"/>
      <c r="G253" s="261"/>
      <c r="H253" s="262"/>
      <c r="I253" s="268"/>
    </row>
    <row r="254" spans="3:9">
      <c r="C254" s="505"/>
      <c r="D254" s="519"/>
      <c r="E254" s="508"/>
      <c r="F254" s="256"/>
      <c r="G254" s="261"/>
      <c r="H254" s="262"/>
      <c r="I254" s="268"/>
    </row>
    <row r="255" spans="3:9">
      <c r="C255" s="503" t="s">
        <v>78</v>
      </c>
      <c r="D255" s="519" t="s">
        <v>79</v>
      </c>
      <c r="E255" s="520"/>
      <c r="F255" s="272"/>
      <c r="G255" s="261"/>
      <c r="H255" s="262"/>
      <c r="I255" s="283"/>
    </row>
    <row r="256" spans="3:9">
      <c r="C256" s="504"/>
      <c r="D256" s="519"/>
      <c r="E256" s="520"/>
      <c r="F256" s="272"/>
      <c r="G256" s="261"/>
      <c r="H256" s="262"/>
      <c r="I256" s="283"/>
    </row>
    <row r="257" spans="3:9">
      <c r="C257" s="504"/>
      <c r="D257" s="519"/>
      <c r="E257" s="520"/>
      <c r="F257" s="272"/>
      <c r="G257" s="261"/>
      <c r="H257" s="262"/>
      <c r="I257" s="283"/>
    </row>
    <row r="258" spans="3:9">
      <c r="C258" s="504"/>
      <c r="D258" s="519"/>
      <c r="E258" s="520"/>
      <c r="F258" s="272"/>
      <c r="G258" s="261"/>
      <c r="H258" s="262"/>
      <c r="I258" s="283"/>
    </row>
    <row r="259" spans="3:9">
      <c r="C259" s="504"/>
      <c r="D259" s="519"/>
      <c r="E259" s="520"/>
      <c r="F259" s="272"/>
      <c r="G259" s="261"/>
      <c r="H259" s="262"/>
      <c r="I259" s="283"/>
    </row>
    <row r="260" spans="3:9">
      <c r="C260" s="504"/>
      <c r="D260" s="519"/>
      <c r="E260" s="520"/>
      <c r="F260" s="272"/>
      <c r="G260" s="261"/>
      <c r="H260" s="262"/>
      <c r="I260" s="283"/>
    </row>
    <row r="261" spans="3:9">
      <c r="C261" s="504"/>
      <c r="D261" s="519"/>
      <c r="E261" s="520"/>
      <c r="F261" s="272"/>
      <c r="G261" s="261"/>
      <c r="H261" s="262"/>
      <c r="I261" s="283"/>
    </row>
    <row r="262" spans="3:9">
      <c r="C262" s="504"/>
      <c r="D262" s="519"/>
      <c r="E262" s="520"/>
      <c r="F262" s="272"/>
      <c r="G262" s="261"/>
      <c r="H262" s="262"/>
      <c r="I262" s="283"/>
    </row>
    <row r="263" spans="3:9">
      <c r="C263" s="504"/>
      <c r="D263" s="519"/>
      <c r="E263" s="520"/>
      <c r="F263" s="272"/>
      <c r="G263" s="261"/>
      <c r="H263" s="262"/>
      <c r="I263" s="283"/>
    </row>
    <row r="264" spans="3:9">
      <c r="C264" s="504"/>
      <c r="D264" s="519"/>
      <c r="E264" s="520"/>
      <c r="F264" s="272"/>
      <c r="G264" s="261"/>
      <c r="H264" s="262"/>
      <c r="I264" s="283"/>
    </row>
    <row r="265" spans="3:9">
      <c r="C265" s="504"/>
      <c r="D265" s="519"/>
      <c r="E265" s="520"/>
      <c r="F265" s="272"/>
      <c r="G265" s="261"/>
      <c r="H265" s="262"/>
      <c r="I265" s="283"/>
    </row>
    <row r="266" spans="3:9">
      <c r="C266" s="504"/>
      <c r="D266" s="519"/>
      <c r="E266" s="520"/>
      <c r="F266" s="272"/>
      <c r="G266" s="261"/>
      <c r="H266" s="262"/>
      <c r="I266" s="283"/>
    </row>
    <row r="267" spans="3:9">
      <c r="C267" s="504"/>
      <c r="D267" s="519"/>
      <c r="E267" s="520"/>
      <c r="F267" s="272"/>
      <c r="G267" s="261"/>
      <c r="H267" s="262"/>
      <c r="I267" s="283"/>
    </row>
    <row r="268" spans="3:9">
      <c r="C268" s="504"/>
      <c r="D268" s="519"/>
      <c r="E268" s="520"/>
      <c r="F268" s="272"/>
      <c r="G268" s="261"/>
      <c r="H268" s="262"/>
      <c r="I268" s="283"/>
    </row>
    <row r="269" spans="3:9">
      <c r="C269" s="504"/>
      <c r="D269" s="519"/>
      <c r="E269" s="520"/>
      <c r="F269" s="272"/>
      <c r="G269" s="261"/>
      <c r="H269" s="262"/>
      <c r="I269" s="283"/>
    </row>
    <row r="270" spans="3:9">
      <c r="C270" s="504"/>
      <c r="D270" s="519"/>
      <c r="E270" s="520"/>
      <c r="F270" s="272"/>
      <c r="G270" s="261"/>
      <c r="H270" s="262"/>
      <c r="I270" s="283"/>
    </row>
    <row r="271" spans="3:9">
      <c r="C271" s="504"/>
      <c r="D271" s="519"/>
      <c r="E271" s="520"/>
      <c r="F271" s="272"/>
      <c r="G271" s="261"/>
      <c r="H271" s="262"/>
      <c r="I271" s="283"/>
    </row>
    <row r="272" spans="3:9">
      <c r="C272" s="504"/>
      <c r="D272" s="519"/>
      <c r="E272" s="520"/>
      <c r="F272" s="272"/>
      <c r="G272" s="261"/>
      <c r="H272" s="262"/>
      <c r="I272" s="283"/>
    </row>
    <row r="273" spans="3:9">
      <c r="C273" s="504"/>
      <c r="D273" s="519"/>
      <c r="E273" s="520"/>
      <c r="F273" s="272"/>
      <c r="G273" s="261"/>
      <c r="H273" s="262"/>
      <c r="I273" s="283"/>
    </row>
    <row r="274" spans="3:9">
      <c r="C274" s="504"/>
      <c r="D274" s="519"/>
      <c r="E274" s="520"/>
      <c r="F274" s="272"/>
      <c r="G274" s="261"/>
      <c r="H274" s="262"/>
      <c r="I274" s="283"/>
    </row>
    <row r="275" spans="3:9">
      <c r="C275" s="504"/>
      <c r="D275" s="519"/>
      <c r="E275" s="520"/>
      <c r="F275" s="272"/>
      <c r="G275" s="261"/>
      <c r="H275" s="262"/>
      <c r="I275" s="283"/>
    </row>
    <row r="276" spans="3:9">
      <c r="C276" s="504"/>
      <c r="D276" s="519"/>
      <c r="E276" s="520"/>
      <c r="F276" s="272"/>
      <c r="G276" s="261"/>
      <c r="H276" s="262"/>
      <c r="I276" s="283"/>
    </row>
    <row r="277" spans="3:9">
      <c r="C277" s="504"/>
      <c r="D277" s="519"/>
      <c r="E277" s="520"/>
      <c r="F277" s="272"/>
      <c r="G277" s="261"/>
      <c r="H277" s="262"/>
      <c r="I277" s="283"/>
    </row>
    <row r="278" spans="3:9">
      <c r="C278" s="504"/>
      <c r="D278" s="519"/>
      <c r="E278" s="520"/>
      <c r="F278" s="272"/>
      <c r="G278" s="261"/>
      <c r="H278" s="262"/>
      <c r="I278" s="283"/>
    </row>
    <row r="279" spans="3:9">
      <c r="C279" s="504"/>
      <c r="D279" s="519"/>
      <c r="E279" s="520"/>
      <c r="F279" s="272"/>
      <c r="G279" s="261"/>
      <c r="H279" s="262"/>
      <c r="I279" s="283"/>
    </row>
    <row r="280" spans="3:9">
      <c r="C280" s="504"/>
      <c r="D280" s="519"/>
      <c r="E280" s="520"/>
      <c r="F280" s="272"/>
      <c r="G280" s="261"/>
      <c r="H280" s="262"/>
      <c r="I280" s="283"/>
    </row>
    <row r="281" spans="3:9">
      <c r="C281" s="504"/>
      <c r="D281" s="519"/>
      <c r="E281" s="520"/>
      <c r="F281" s="272"/>
      <c r="G281" s="261"/>
      <c r="H281" s="262"/>
      <c r="I281" s="283"/>
    </row>
    <row r="282" spans="3:9">
      <c r="C282" s="504"/>
      <c r="D282" s="519"/>
      <c r="E282" s="520"/>
      <c r="F282" s="272"/>
      <c r="G282" s="261"/>
      <c r="H282" s="262"/>
      <c r="I282" s="283"/>
    </row>
    <row r="283" spans="3:9">
      <c r="C283" s="504"/>
      <c r="D283" s="519"/>
      <c r="E283" s="520"/>
      <c r="F283" s="272"/>
      <c r="G283" s="261"/>
      <c r="H283" s="262"/>
      <c r="I283" s="283"/>
    </row>
    <row r="284" spans="3:9">
      <c r="C284" s="504"/>
      <c r="D284" s="519"/>
      <c r="E284" s="520"/>
      <c r="F284" s="272"/>
      <c r="G284" s="261"/>
      <c r="H284" s="262"/>
      <c r="I284" s="283"/>
    </row>
    <row r="285" spans="3:9">
      <c r="C285" s="504"/>
      <c r="D285" s="519"/>
      <c r="E285" s="520"/>
      <c r="F285" s="272"/>
      <c r="G285" s="261"/>
      <c r="H285" s="262"/>
      <c r="I285" s="268"/>
    </row>
    <row r="286" spans="3:9">
      <c r="C286" s="504"/>
      <c r="D286" s="519"/>
      <c r="E286" s="520"/>
      <c r="F286" s="272"/>
      <c r="G286" s="261"/>
      <c r="H286" s="262"/>
      <c r="I286" s="268"/>
    </row>
    <row r="287" spans="3:9">
      <c r="C287" s="504"/>
      <c r="D287" s="519"/>
      <c r="E287" s="520"/>
      <c r="F287" s="272"/>
      <c r="G287" s="261"/>
      <c r="H287" s="262"/>
      <c r="I287" s="268"/>
    </row>
    <row r="288" spans="3:9">
      <c r="C288" s="513"/>
      <c r="D288" s="519"/>
      <c r="E288" s="520"/>
      <c r="F288" s="272"/>
      <c r="G288" s="261"/>
      <c r="H288" s="262"/>
      <c r="I288" s="268"/>
    </row>
    <row r="289" spans="3:9">
      <c r="C289" s="284"/>
      <c r="D289" s="284"/>
      <c r="E289" s="284"/>
      <c r="F289" s="284"/>
      <c r="G289" s="285"/>
      <c r="H289" s="284"/>
      <c r="I289" s="286"/>
    </row>
  </sheetData>
  <mergeCells count="34">
    <mergeCell ref="E255:E265"/>
    <mergeCell ref="E266:E284"/>
    <mergeCell ref="E285:E288"/>
    <mergeCell ref="E128:E162"/>
    <mergeCell ref="E163:E187"/>
    <mergeCell ref="E188:E211"/>
    <mergeCell ref="E212:E233"/>
    <mergeCell ref="E234:E254"/>
    <mergeCell ref="E62:E64"/>
    <mergeCell ref="E65:E78"/>
    <mergeCell ref="E79:E83"/>
    <mergeCell ref="E84:E86"/>
    <mergeCell ref="E92:E127"/>
    <mergeCell ref="C255:C288"/>
    <mergeCell ref="D5:D91"/>
    <mergeCell ref="D92:D187"/>
    <mergeCell ref="D188:D254"/>
    <mergeCell ref="D255:D288"/>
    <mergeCell ref="C1:I1"/>
    <mergeCell ref="C2:I2"/>
    <mergeCell ref="C5:C91"/>
    <mergeCell ref="C92:C187"/>
    <mergeCell ref="C188:C254"/>
    <mergeCell ref="E5:E7"/>
    <mergeCell ref="E8:E13"/>
    <mergeCell ref="E14:E15"/>
    <mergeCell ref="E16:E17"/>
    <mergeCell ref="E18:E20"/>
    <mergeCell ref="E21:E24"/>
    <mergeCell ref="E25:E35"/>
    <mergeCell ref="E36:E45"/>
    <mergeCell ref="E46:E52"/>
    <mergeCell ref="E53:E56"/>
    <mergeCell ref="E57:E61"/>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499984740745262"/>
  </sheetPr>
  <dimension ref="B2:WVP42"/>
  <sheetViews>
    <sheetView showGridLines="0" topLeftCell="A6" workbookViewId="0">
      <selection activeCell="G21" sqref="G21"/>
    </sheetView>
  </sheetViews>
  <sheetFormatPr baseColWidth="10" defaultColWidth="11.42578125" defaultRowHeight="15"/>
  <cols>
    <col min="1" max="1" width="4.42578125" customWidth="1"/>
    <col min="2" max="2" width="10.7109375" customWidth="1"/>
    <col min="3" max="3" width="27.85546875" customWidth="1"/>
    <col min="4" max="6" width="15.28515625" customWidth="1"/>
    <col min="7" max="13" width="17.85546875" customWidth="1"/>
    <col min="14" max="14" width="11.42578125" customWidth="1"/>
    <col min="249" max="249" width="4.42578125" customWidth="1"/>
    <col min="250" max="250" width="10.7109375" customWidth="1"/>
    <col min="251" max="251" width="62.28515625" customWidth="1"/>
    <col min="252" max="252" width="6.7109375" customWidth="1"/>
    <col min="253" max="253" width="7.7109375" customWidth="1"/>
    <col min="254" max="264" width="11.42578125" hidden="1" customWidth="1"/>
    <col min="265" max="265" width="9" customWidth="1"/>
    <col min="270" max="270" width="19.140625" customWidth="1"/>
    <col min="505" max="505" width="4.42578125" customWidth="1"/>
    <col min="506" max="506" width="10.7109375" customWidth="1"/>
    <col min="507" max="507" width="62.28515625" customWidth="1"/>
    <col min="508" max="508" width="6.7109375" customWidth="1"/>
    <col min="509" max="509" width="7.7109375" customWidth="1"/>
    <col min="510" max="520" width="11.42578125" hidden="1" customWidth="1"/>
    <col min="521" max="521" width="9" customWidth="1"/>
    <col min="526" max="526" width="19.140625" customWidth="1"/>
    <col min="761" max="761" width="4.42578125" customWidth="1"/>
    <col min="762" max="762" width="10.7109375" customWidth="1"/>
    <col min="763" max="763" width="62.28515625" customWidth="1"/>
    <col min="764" max="764" width="6.7109375" customWidth="1"/>
    <col min="765" max="765" width="7.7109375" customWidth="1"/>
    <col min="766" max="776" width="11.42578125" hidden="1" customWidth="1"/>
    <col min="777" max="777" width="9" customWidth="1"/>
    <col min="782" max="782" width="19.140625" customWidth="1"/>
    <col min="1017" max="1017" width="4.42578125" customWidth="1"/>
    <col min="1018" max="1018" width="10.7109375" customWidth="1"/>
    <col min="1019" max="1019" width="62.28515625" customWidth="1"/>
    <col min="1020" max="1020" width="6.7109375" customWidth="1"/>
    <col min="1021" max="1021" width="7.7109375" customWidth="1"/>
    <col min="1022" max="1032" width="11.42578125" hidden="1" customWidth="1"/>
    <col min="1033" max="1033" width="9" customWidth="1"/>
    <col min="1038" max="1038" width="19.140625" customWidth="1"/>
    <col min="1273" max="1273" width="4.42578125" customWidth="1"/>
    <col min="1274" max="1274" width="10.7109375" customWidth="1"/>
    <col min="1275" max="1275" width="62.28515625" customWidth="1"/>
    <col min="1276" max="1276" width="6.7109375" customWidth="1"/>
    <col min="1277" max="1277" width="7.7109375" customWidth="1"/>
    <col min="1278" max="1288" width="11.42578125" hidden="1" customWidth="1"/>
    <col min="1289" max="1289" width="9" customWidth="1"/>
    <col min="1294" max="1294" width="19.140625" customWidth="1"/>
    <col min="1529" max="1529" width="4.42578125" customWidth="1"/>
    <col min="1530" max="1530" width="10.7109375" customWidth="1"/>
    <col min="1531" max="1531" width="62.28515625" customWidth="1"/>
    <col min="1532" max="1532" width="6.7109375" customWidth="1"/>
    <col min="1533" max="1533" width="7.7109375" customWidth="1"/>
    <col min="1534" max="1544" width="11.42578125" hidden="1" customWidth="1"/>
    <col min="1545" max="1545" width="9" customWidth="1"/>
    <col min="1550" max="1550" width="19.140625" customWidth="1"/>
    <col min="1785" max="1785" width="4.42578125" customWidth="1"/>
    <col min="1786" max="1786" width="10.7109375" customWidth="1"/>
    <col min="1787" max="1787" width="62.28515625" customWidth="1"/>
    <col min="1788" max="1788" width="6.7109375" customWidth="1"/>
    <col min="1789" max="1789" width="7.7109375" customWidth="1"/>
    <col min="1790" max="1800" width="11.42578125" hidden="1" customWidth="1"/>
    <col min="1801" max="1801" width="9" customWidth="1"/>
    <col min="1806" max="1806" width="19.140625" customWidth="1"/>
    <col min="2041" max="2041" width="4.42578125" customWidth="1"/>
    <col min="2042" max="2042" width="10.7109375" customWidth="1"/>
    <col min="2043" max="2043" width="62.28515625" customWidth="1"/>
    <col min="2044" max="2044" width="6.7109375" customWidth="1"/>
    <col min="2045" max="2045" width="7.7109375" customWidth="1"/>
    <col min="2046" max="2056" width="11.42578125" hidden="1" customWidth="1"/>
    <col min="2057" max="2057" width="9" customWidth="1"/>
    <col min="2062" max="2062" width="19.140625" customWidth="1"/>
    <col min="2297" max="2297" width="4.42578125" customWidth="1"/>
    <col min="2298" max="2298" width="10.7109375" customWidth="1"/>
    <col min="2299" max="2299" width="62.28515625" customWidth="1"/>
    <col min="2300" max="2300" width="6.7109375" customWidth="1"/>
    <col min="2301" max="2301" width="7.7109375" customWidth="1"/>
    <col min="2302" max="2312" width="11.42578125" hidden="1" customWidth="1"/>
    <col min="2313" max="2313" width="9" customWidth="1"/>
    <col min="2318" max="2318" width="19.140625" customWidth="1"/>
    <col min="2553" max="2553" width="4.42578125" customWidth="1"/>
    <col min="2554" max="2554" width="10.7109375" customWidth="1"/>
    <col min="2555" max="2555" width="62.28515625" customWidth="1"/>
    <col min="2556" max="2556" width="6.7109375" customWidth="1"/>
    <col min="2557" max="2557" width="7.7109375" customWidth="1"/>
    <col min="2558" max="2568" width="11.42578125" hidden="1" customWidth="1"/>
    <col min="2569" max="2569" width="9" customWidth="1"/>
    <col min="2574" max="2574" width="19.140625" customWidth="1"/>
    <col min="2809" max="2809" width="4.42578125" customWidth="1"/>
    <col min="2810" max="2810" width="10.7109375" customWidth="1"/>
    <col min="2811" max="2811" width="62.28515625" customWidth="1"/>
    <col min="2812" max="2812" width="6.7109375" customWidth="1"/>
    <col min="2813" max="2813" width="7.7109375" customWidth="1"/>
    <col min="2814" max="2824" width="11.42578125" hidden="1" customWidth="1"/>
    <col min="2825" max="2825" width="9" customWidth="1"/>
    <col min="2830" max="2830" width="19.140625" customWidth="1"/>
    <col min="3065" max="3065" width="4.42578125" customWidth="1"/>
    <col min="3066" max="3066" width="10.7109375" customWidth="1"/>
    <col min="3067" max="3067" width="62.28515625" customWidth="1"/>
    <col min="3068" max="3068" width="6.7109375" customWidth="1"/>
    <col min="3069" max="3069" width="7.7109375" customWidth="1"/>
    <col min="3070" max="3080" width="11.42578125" hidden="1" customWidth="1"/>
    <col min="3081" max="3081" width="9" customWidth="1"/>
    <col min="3086" max="3086" width="19.140625" customWidth="1"/>
    <col min="3321" max="3321" width="4.42578125" customWidth="1"/>
    <col min="3322" max="3322" width="10.7109375" customWidth="1"/>
    <col min="3323" max="3323" width="62.28515625" customWidth="1"/>
    <col min="3324" max="3324" width="6.7109375" customWidth="1"/>
    <col min="3325" max="3325" width="7.7109375" customWidth="1"/>
    <col min="3326" max="3336" width="11.42578125" hidden="1" customWidth="1"/>
    <col min="3337" max="3337" width="9" customWidth="1"/>
    <col min="3342" max="3342" width="19.140625" customWidth="1"/>
    <col min="3577" max="3577" width="4.42578125" customWidth="1"/>
    <col min="3578" max="3578" width="10.7109375" customWidth="1"/>
    <col min="3579" max="3579" width="62.28515625" customWidth="1"/>
    <col min="3580" max="3580" width="6.7109375" customWidth="1"/>
    <col min="3581" max="3581" width="7.7109375" customWidth="1"/>
    <col min="3582" max="3592" width="11.42578125" hidden="1" customWidth="1"/>
    <col min="3593" max="3593" width="9" customWidth="1"/>
    <col min="3598" max="3598" width="19.140625" customWidth="1"/>
    <col min="3833" max="3833" width="4.42578125" customWidth="1"/>
    <col min="3834" max="3834" width="10.7109375" customWidth="1"/>
    <col min="3835" max="3835" width="62.28515625" customWidth="1"/>
    <col min="3836" max="3836" width="6.7109375" customWidth="1"/>
    <col min="3837" max="3837" width="7.7109375" customWidth="1"/>
    <col min="3838" max="3848" width="11.42578125" hidden="1" customWidth="1"/>
    <col min="3849" max="3849" width="9" customWidth="1"/>
    <col min="3854" max="3854" width="19.140625" customWidth="1"/>
    <col min="4089" max="4089" width="4.42578125" customWidth="1"/>
    <col min="4090" max="4090" width="10.7109375" customWidth="1"/>
    <col min="4091" max="4091" width="62.28515625" customWidth="1"/>
    <col min="4092" max="4092" width="6.7109375" customWidth="1"/>
    <col min="4093" max="4093" width="7.7109375" customWidth="1"/>
    <col min="4094" max="4104" width="11.42578125" hidden="1" customWidth="1"/>
    <col min="4105" max="4105" width="9" customWidth="1"/>
    <col min="4110" max="4110" width="19.140625" customWidth="1"/>
    <col min="4345" max="4345" width="4.42578125" customWidth="1"/>
    <col min="4346" max="4346" width="10.7109375" customWidth="1"/>
    <col min="4347" max="4347" width="62.28515625" customWidth="1"/>
    <col min="4348" max="4348" width="6.7109375" customWidth="1"/>
    <col min="4349" max="4349" width="7.7109375" customWidth="1"/>
    <col min="4350" max="4360" width="11.42578125" hidden="1" customWidth="1"/>
    <col min="4361" max="4361" width="9" customWidth="1"/>
    <col min="4366" max="4366" width="19.140625" customWidth="1"/>
    <col min="4601" max="4601" width="4.42578125" customWidth="1"/>
    <col min="4602" max="4602" width="10.7109375" customWidth="1"/>
    <col min="4603" max="4603" width="62.28515625" customWidth="1"/>
    <col min="4604" max="4604" width="6.7109375" customWidth="1"/>
    <col min="4605" max="4605" width="7.7109375" customWidth="1"/>
    <col min="4606" max="4616" width="11.42578125" hidden="1" customWidth="1"/>
    <col min="4617" max="4617" width="9" customWidth="1"/>
    <col min="4622" max="4622" width="19.140625" customWidth="1"/>
    <col min="4857" max="4857" width="4.42578125" customWidth="1"/>
    <col min="4858" max="4858" width="10.7109375" customWidth="1"/>
    <col min="4859" max="4859" width="62.28515625" customWidth="1"/>
    <col min="4860" max="4860" width="6.7109375" customWidth="1"/>
    <col min="4861" max="4861" width="7.7109375" customWidth="1"/>
    <col min="4862" max="4872" width="11.42578125" hidden="1" customWidth="1"/>
    <col min="4873" max="4873" width="9" customWidth="1"/>
    <col min="4878" max="4878" width="19.140625" customWidth="1"/>
    <col min="5113" max="5113" width="4.42578125" customWidth="1"/>
    <col min="5114" max="5114" width="10.7109375" customWidth="1"/>
    <col min="5115" max="5115" width="62.28515625" customWidth="1"/>
    <col min="5116" max="5116" width="6.7109375" customWidth="1"/>
    <col min="5117" max="5117" width="7.7109375" customWidth="1"/>
    <col min="5118" max="5128" width="11.42578125" hidden="1" customWidth="1"/>
    <col min="5129" max="5129" width="9" customWidth="1"/>
    <col min="5134" max="5134" width="19.140625" customWidth="1"/>
    <col min="5369" max="5369" width="4.42578125" customWidth="1"/>
    <col min="5370" max="5370" width="10.7109375" customWidth="1"/>
    <col min="5371" max="5371" width="62.28515625" customWidth="1"/>
    <col min="5372" max="5372" width="6.7109375" customWidth="1"/>
    <col min="5373" max="5373" width="7.7109375" customWidth="1"/>
    <col min="5374" max="5384" width="11.42578125" hidden="1" customWidth="1"/>
    <col min="5385" max="5385" width="9" customWidth="1"/>
    <col min="5390" max="5390" width="19.140625" customWidth="1"/>
    <col min="5625" max="5625" width="4.42578125" customWidth="1"/>
    <col min="5626" max="5626" width="10.7109375" customWidth="1"/>
    <col min="5627" max="5627" width="62.28515625" customWidth="1"/>
    <col min="5628" max="5628" width="6.7109375" customWidth="1"/>
    <col min="5629" max="5629" width="7.7109375" customWidth="1"/>
    <col min="5630" max="5640" width="11.42578125" hidden="1" customWidth="1"/>
    <col min="5641" max="5641" width="9" customWidth="1"/>
    <col min="5646" max="5646" width="19.140625" customWidth="1"/>
    <col min="5881" max="5881" width="4.42578125" customWidth="1"/>
    <col min="5882" max="5882" width="10.7109375" customWidth="1"/>
    <col min="5883" max="5883" width="62.28515625" customWidth="1"/>
    <col min="5884" max="5884" width="6.7109375" customWidth="1"/>
    <col min="5885" max="5885" width="7.7109375" customWidth="1"/>
    <col min="5886" max="5896" width="11.42578125" hidden="1" customWidth="1"/>
    <col min="5897" max="5897" width="9" customWidth="1"/>
    <col min="5902" max="5902" width="19.140625" customWidth="1"/>
    <col min="6137" max="6137" width="4.42578125" customWidth="1"/>
    <col min="6138" max="6138" width="10.7109375" customWidth="1"/>
    <col min="6139" max="6139" width="62.28515625" customWidth="1"/>
    <col min="6140" max="6140" width="6.7109375" customWidth="1"/>
    <col min="6141" max="6141" width="7.7109375" customWidth="1"/>
    <col min="6142" max="6152" width="11.42578125" hidden="1" customWidth="1"/>
    <col min="6153" max="6153" width="9" customWidth="1"/>
    <col min="6158" max="6158" width="19.140625" customWidth="1"/>
    <col min="6393" max="6393" width="4.42578125" customWidth="1"/>
    <col min="6394" max="6394" width="10.7109375" customWidth="1"/>
    <col min="6395" max="6395" width="62.28515625" customWidth="1"/>
    <col min="6396" max="6396" width="6.7109375" customWidth="1"/>
    <col min="6397" max="6397" width="7.7109375" customWidth="1"/>
    <col min="6398" max="6408" width="11.42578125" hidden="1" customWidth="1"/>
    <col min="6409" max="6409" width="9" customWidth="1"/>
    <col min="6414" max="6414" width="19.140625" customWidth="1"/>
    <col min="6649" max="6649" width="4.42578125" customWidth="1"/>
    <col min="6650" max="6650" width="10.7109375" customWidth="1"/>
    <col min="6651" max="6651" width="62.28515625" customWidth="1"/>
    <col min="6652" max="6652" width="6.7109375" customWidth="1"/>
    <col min="6653" max="6653" width="7.7109375" customWidth="1"/>
    <col min="6654" max="6664" width="11.42578125" hidden="1" customWidth="1"/>
    <col min="6665" max="6665" width="9" customWidth="1"/>
    <col min="6670" max="6670" width="19.140625" customWidth="1"/>
    <col min="6905" max="6905" width="4.42578125" customWidth="1"/>
    <col min="6906" max="6906" width="10.7109375" customWidth="1"/>
    <col min="6907" max="6907" width="62.28515625" customWidth="1"/>
    <col min="6908" max="6908" width="6.7109375" customWidth="1"/>
    <col min="6909" max="6909" width="7.7109375" customWidth="1"/>
    <col min="6910" max="6920" width="11.42578125" hidden="1" customWidth="1"/>
    <col min="6921" max="6921" width="9" customWidth="1"/>
    <col min="6926" max="6926" width="19.140625" customWidth="1"/>
    <col min="7161" max="7161" width="4.42578125" customWidth="1"/>
    <col min="7162" max="7162" width="10.7109375" customWidth="1"/>
    <col min="7163" max="7163" width="62.28515625" customWidth="1"/>
    <col min="7164" max="7164" width="6.7109375" customWidth="1"/>
    <col min="7165" max="7165" width="7.7109375" customWidth="1"/>
    <col min="7166" max="7176" width="11.42578125" hidden="1" customWidth="1"/>
    <col min="7177" max="7177" width="9" customWidth="1"/>
    <col min="7182" max="7182" width="19.140625" customWidth="1"/>
    <col min="7417" max="7417" width="4.42578125" customWidth="1"/>
    <col min="7418" max="7418" width="10.7109375" customWidth="1"/>
    <col min="7419" max="7419" width="62.28515625" customWidth="1"/>
    <col min="7420" max="7420" width="6.7109375" customWidth="1"/>
    <col min="7421" max="7421" width="7.7109375" customWidth="1"/>
    <col min="7422" max="7432" width="11.42578125" hidden="1" customWidth="1"/>
    <col min="7433" max="7433" width="9" customWidth="1"/>
    <col min="7438" max="7438" width="19.140625" customWidth="1"/>
    <col min="7673" max="7673" width="4.42578125" customWidth="1"/>
    <col min="7674" max="7674" width="10.7109375" customWidth="1"/>
    <col min="7675" max="7675" width="62.28515625" customWidth="1"/>
    <col min="7676" max="7676" width="6.7109375" customWidth="1"/>
    <col min="7677" max="7677" width="7.7109375" customWidth="1"/>
    <col min="7678" max="7688" width="11.42578125" hidden="1" customWidth="1"/>
    <col min="7689" max="7689" width="9" customWidth="1"/>
    <col min="7694" max="7694" width="19.140625" customWidth="1"/>
    <col min="7929" max="7929" width="4.42578125" customWidth="1"/>
    <col min="7930" max="7930" width="10.7109375" customWidth="1"/>
    <col min="7931" max="7931" width="62.28515625" customWidth="1"/>
    <col min="7932" max="7932" width="6.7109375" customWidth="1"/>
    <col min="7933" max="7933" width="7.7109375" customWidth="1"/>
    <col min="7934" max="7944" width="11.42578125" hidden="1" customWidth="1"/>
    <col min="7945" max="7945" width="9" customWidth="1"/>
    <col min="7950" max="7950" width="19.140625" customWidth="1"/>
    <col min="8185" max="8185" width="4.42578125" customWidth="1"/>
    <col min="8186" max="8186" width="10.7109375" customWidth="1"/>
    <col min="8187" max="8187" width="62.28515625" customWidth="1"/>
    <col min="8188" max="8188" width="6.7109375" customWidth="1"/>
    <col min="8189" max="8189" width="7.7109375" customWidth="1"/>
    <col min="8190" max="8200" width="11.42578125" hidden="1" customWidth="1"/>
    <col min="8201" max="8201" width="9" customWidth="1"/>
    <col min="8206" max="8206" width="19.140625" customWidth="1"/>
    <col min="8441" max="8441" width="4.42578125" customWidth="1"/>
    <col min="8442" max="8442" width="10.7109375" customWidth="1"/>
    <col min="8443" max="8443" width="62.28515625" customWidth="1"/>
    <col min="8444" max="8444" width="6.7109375" customWidth="1"/>
    <col min="8445" max="8445" width="7.7109375" customWidth="1"/>
    <col min="8446" max="8456" width="11.42578125" hidden="1" customWidth="1"/>
    <col min="8457" max="8457" width="9" customWidth="1"/>
    <col min="8462" max="8462" width="19.140625" customWidth="1"/>
    <col min="8697" max="8697" width="4.42578125" customWidth="1"/>
    <col min="8698" max="8698" width="10.7109375" customWidth="1"/>
    <col min="8699" max="8699" width="62.28515625" customWidth="1"/>
    <col min="8700" max="8700" width="6.7109375" customWidth="1"/>
    <col min="8701" max="8701" width="7.7109375" customWidth="1"/>
    <col min="8702" max="8712" width="11.42578125" hidden="1" customWidth="1"/>
    <col min="8713" max="8713" width="9" customWidth="1"/>
    <col min="8718" max="8718" width="19.140625" customWidth="1"/>
    <col min="8953" max="8953" width="4.42578125" customWidth="1"/>
    <col min="8954" max="8954" width="10.7109375" customWidth="1"/>
    <col min="8955" max="8955" width="62.28515625" customWidth="1"/>
    <col min="8956" max="8956" width="6.7109375" customWidth="1"/>
    <col min="8957" max="8957" width="7.7109375" customWidth="1"/>
    <col min="8958" max="8968" width="11.42578125" hidden="1" customWidth="1"/>
    <col min="8969" max="8969" width="9" customWidth="1"/>
    <col min="8974" max="8974" width="19.140625" customWidth="1"/>
    <col min="9209" max="9209" width="4.42578125" customWidth="1"/>
    <col min="9210" max="9210" width="10.7109375" customWidth="1"/>
    <col min="9211" max="9211" width="62.28515625" customWidth="1"/>
    <col min="9212" max="9212" width="6.7109375" customWidth="1"/>
    <col min="9213" max="9213" width="7.7109375" customWidth="1"/>
    <col min="9214" max="9224" width="11.42578125" hidden="1" customWidth="1"/>
    <col min="9225" max="9225" width="9" customWidth="1"/>
    <col min="9230" max="9230" width="19.140625" customWidth="1"/>
    <col min="9465" max="9465" width="4.42578125" customWidth="1"/>
    <col min="9466" max="9466" width="10.7109375" customWidth="1"/>
    <col min="9467" max="9467" width="62.28515625" customWidth="1"/>
    <col min="9468" max="9468" width="6.7109375" customWidth="1"/>
    <col min="9469" max="9469" width="7.7109375" customWidth="1"/>
    <col min="9470" max="9480" width="11.42578125" hidden="1" customWidth="1"/>
    <col min="9481" max="9481" width="9" customWidth="1"/>
    <col min="9486" max="9486" width="19.140625" customWidth="1"/>
    <col min="9721" max="9721" width="4.42578125" customWidth="1"/>
    <col min="9722" max="9722" width="10.7109375" customWidth="1"/>
    <col min="9723" max="9723" width="62.28515625" customWidth="1"/>
    <col min="9724" max="9724" width="6.7109375" customWidth="1"/>
    <col min="9725" max="9725" width="7.7109375" customWidth="1"/>
    <col min="9726" max="9736" width="11.42578125" hidden="1" customWidth="1"/>
    <col min="9737" max="9737" width="9" customWidth="1"/>
    <col min="9742" max="9742" width="19.140625" customWidth="1"/>
    <col min="9977" max="9977" width="4.42578125" customWidth="1"/>
    <col min="9978" max="9978" width="10.7109375" customWidth="1"/>
    <col min="9979" max="9979" width="62.28515625" customWidth="1"/>
    <col min="9980" max="9980" width="6.7109375" customWidth="1"/>
    <col min="9981" max="9981" width="7.7109375" customWidth="1"/>
    <col min="9982" max="9992" width="11.42578125" hidden="1" customWidth="1"/>
    <col min="9993" max="9993" width="9" customWidth="1"/>
    <col min="9998" max="9998" width="19.140625" customWidth="1"/>
    <col min="10233" max="10233" width="4.42578125" customWidth="1"/>
    <col min="10234" max="10234" width="10.7109375" customWidth="1"/>
    <col min="10235" max="10235" width="62.28515625" customWidth="1"/>
    <col min="10236" max="10236" width="6.7109375" customWidth="1"/>
    <col min="10237" max="10237" width="7.7109375" customWidth="1"/>
    <col min="10238" max="10248" width="11.42578125" hidden="1" customWidth="1"/>
    <col min="10249" max="10249" width="9" customWidth="1"/>
    <col min="10254" max="10254" width="19.140625" customWidth="1"/>
    <col min="10489" max="10489" width="4.42578125" customWidth="1"/>
    <col min="10490" max="10490" width="10.7109375" customWidth="1"/>
    <col min="10491" max="10491" width="62.28515625" customWidth="1"/>
    <col min="10492" max="10492" width="6.7109375" customWidth="1"/>
    <col min="10493" max="10493" width="7.7109375" customWidth="1"/>
    <col min="10494" max="10504" width="11.42578125" hidden="1" customWidth="1"/>
    <col min="10505" max="10505" width="9" customWidth="1"/>
    <col min="10510" max="10510" width="19.140625" customWidth="1"/>
    <col min="10745" max="10745" width="4.42578125" customWidth="1"/>
    <col min="10746" max="10746" width="10.7109375" customWidth="1"/>
    <col min="10747" max="10747" width="62.28515625" customWidth="1"/>
    <col min="10748" max="10748" width="6.7109375" customWidth="1"/>
    <col min="10749" max="10749" width="7.7109375" customWidth="1"/>
    <col min="10750" max="10760" width="11.42578125" hidden="1" customWidth="1"/>
    <col min="10761" max="10761" width="9" customWidth="1"/>
    <col min="10766" max="10766" width="19.140625" customWidth="1"/>
    <col min="11001" max="11001" width="4.42578125" customWidth="1"/>
    <col min="11002" max="11002" width="10.7109375" customWidth="1"/>
    <col min="11003" max="11003" width="62.28515625" customWidth="1"/>
    <col min="11004" max="11004" width="6.7109375" customWidth="1"/>
    <col min="11005" max="11005" width="7.7109375" customWidth="1"/>
    <col min="11006" max="11016" width="11.42578125" hidden="1" customWidth="1"/>
    <col min="11017" max="11017" width="9" customWidth="1"/>
    <col min="11022" max="11022" width="19.140625" customWidth="1"/>
    <col min="11257" max="11257" width="4.42578125" customWidth="1"/>
    <col min="11258" max="11258" width="10.7109375" customWidth="1"/>
    <col min="11259" max="11259" width="62.28515625" customWidth="1"/>
    <col min="11260" max="11260" width="6.7109375" customWidth="1"/>
    <col min="11261" max="11261" width="7.7109375" customWidth="1"/>
    <col min="11262" max="11272" width="11.42578125" hidden="1" customWidth="1"/>
    <col min="11273" max="11273" width="9" customWidth="1"/>
    <col min="11278" max="11278" width="19.140625" customWidth="1"/>
    <col min="11513" max="11513" width="4.42578125" customWidth="1"/>
    <col min="11514" max="11514" width="10.7109375" customWidth="1"/>
    <col min="11515" max="11515" width="62.28515625" customWidth="1"/>
    <col min="11516" max="11516" width="6.7109375" customWidth="1"/>
    <col min="11517" max="11517" width="7.7109375" customWidth="1"/>
    <col min="11518" max="11528" width="11.42578125" hidden="1" customWidth="1"/>
    <col min="11529" max="11529" width="9" customWidth="1"/>
    <col min="11534" max="11534" width="19.140625" customWidth="1"/>
    <col min="11769" max="11769" width="4.42578125" customWidth="1"/>
    <col min="11770" max="11770" width="10.7109375" customWidth="1"/>
    <col min="11771" max="11771" width="62.28515625" customWidth="1"/>
    <col min="11772" max="11772" width="6.7109375" customWidth="1"/>
    <col min="11773" max="11773" width="7.7109375" customWidth="1"/>
    <col min="11774" max="11784" width="11.42578125" hidden="1" customWidth="1"/>
    <col min="11785" max="11785" width="9" customWidth="1"/>
    <col min="11790" max="11790" width="19.140625" customWidth="1"/>
    <col min="12025" max="12025" width="4.42578125" customWidth="1"/>
    <col min="12026" max="12026" width="10.7109375" customWidth="1"/>
    <col min="12027" max="12027" width="62.28515625" customWidth="1"/>
    <col min="12028" max="12028" width="6.7109375" customWidth="1"/>
    <col min="12029" max="12029" width="7.7109375" customWidth="1"/>
    <col min="12030" max="12040" width="11.42578125" hidden="1" customWidth="1"/>
    <col min="12041" max="12041" width="9" customWidth="1"/>
    <col min="12046" max="12046" width="19.140625" customWidth="1"/>
    <col min="12281" max="12281" width="4.42578125" customWidth="1"/>
    <col min="12282" max="12282" width="10.7109375" customWidth="1"/>
    <col min="12283" max="12283" width="62.28515625" customWidth="1"/>
    <col min="12284" max="12284" width="6.7109375" customWidth="1"/>
    <col min="12285" max="12285" width="7.7109375" customWidth="1"/>
    <col min="12286" max="12296" width="11.42578125" hidden="1" customWidth="1"/>
    <col min="12297" max="12297" width="9" customWidth="1"/>
    <col min="12302" max="12302" width="19.140625" customWidth="1"/>
    <col min="12537" max="12537" width="4.42578125" customWidth="1"/>
    <col min="12538" max="12538" width="10.7109375" customWidth="1"/>
    <col min="12539" max="12539" width="62.28515625" customWidth="1"/>
    <col min="12540" max="12540" width="6.7109375" customWidth="1"/>
    <col min="12541" max="12541" width="7.7109375" customWidth="1"/>
    <col min="12542" max="12552" width="11.42578125" hidden="1" customWidth="1"/>
    <col min="12553" max="12553" width="9" customWidth="1"/>
    <col min="12558" max="12558" width="19.140625" customWidth="1"/>
    <col min="12793" max="12793" width="4.42578125" customWidth="1"/>
    <col min="12794" max="12794" width="10.7109375" customWidth="1"/>
    <col min="12795" max="12795" width="62.28515625" customWidth="1"/>
    <col min="12796" max="12796" width="6.7109375" customWidth="1"/>
    <col min="12797" max="12797" width="7.7109375" customWidth="1"/>
    <col min="12798" max="12808" width="11.42578125" hidden="1" customWidth="1"/>
    <col min="12809" max="12809" width="9" customWidth="1"/>
    <col min="12814" max="12814" width="19.140625" customWidth="1"/>
    <col min="13049" max="13049" width="4.42578125" customWidth="1"/>
    <col min="13050" max="13050" width="10.7109375" customWidth="1"/>
    <col min="13051" max="13051" width="62.28515625" customWidth="1"/>
    <col min="13052" max="13052" width="6.7109375" customWidth="1"/>
    <col min="13053" max="13053" width="7.7109375" customWidth="1"/>
    <col min="13054" max="13064" width="11.42578125" hidden="1" customWidth="1"/>
    <col min="13065" max="13065" width="9" customWidth="1"/>
    <col min="13070" max="13070" width="19.140625" customWidth="1"/>
    <col min="13305" max="13305" width="4.42578125" customWidth="1"/>
    <col min="13306" max="13306" width="10.7109375" customWidth="1"/>
    <col min="13307" max="13307" width="62.28515625" customWidth="1"/>
    <col min="13308" max="13308" width="6.7109375" customWidth="1"/>
    <col min="13309" max="13309" width="7.7109375" customWidth="1"/>
    <col min="13310" max="13320" width="11.42578125" hidden="1" customWidth="1"/>
    <col min="13321" max="13321" width="9" customWidth="1"/>
    <col min="13326" max="13326" width="19.140625" customWidth="1"/>
    <col min="13561" max="13561" width="4.42578125" customWidth="1"/>
    <col min="13562" max="13562" width="10.7109375" customWidth="1"/>
    <col min="13563" max="13563" width="62.28515625" customWidth="1"/>
    <col min="13564" max="13564" width="6.7109375" customWidth="1"/>
    <col min="13565" max="13565" width="7.7109375" customWidth="1"/>
    <col min="13566" max="13576" width="11.42578125" hidden="1" customWidth="1"/>
    <col min="13577" max="13577" width="9" customWidth="1"/>
    <col min="13582" max="13582" width="19.140625" customWidth="1"/>
    <col min="13817" max="13817" width="4.42578125" customWidth="1"/>
    <col min="13818" max="13818" width="10.7109375" customWidth="1"/>
    <col min="13819" max="13819" width="62.28515625" customWidth="1"/>
    <col min="13820" max="13820" width="6.7109375" customWidth="1"/>
    <col min="13821" max="13821" width="7.7109375" customWidth="1"/>
    <col min="13822" max="13832" width="11.42578125" hidden="1" customWidth="1"/>
    <col min="13833" max="13833" width="9" customWidth="1"/>
    <col min="13838" max="13838" width="19.140625" customWidth="1"/>
    <col min="14073" max="14073" width="4.42578125" customWidth="1"/>
    <col min="14074" max="14074" width="10.7109375" customWidth="1"/>
    <col min="14075" max="14075" width="62.28515625" customWidth="1"/>
    <col min="14076" max="14076" width="6.7109375" customWidth="1"/>
    <col min="14077" max="14077" width="7.7109375" customWidth="1"/>
    <col min="14078" max="14088" width="11.42578125" hidden="1" customWidth="1"/>
    <col min="14089" max="14089" width="9" customWidth="1"/>
    <col min="14094" max="14094" width="19.140625" customWidth="1"/>
    <col min="14329" max="14329" width="4.42578125" customWidth="1"/>
    <col min="14330" max="14330" width="10.7109375" customWidth="1"/>
    <col min="14331" max="14331" width="62.28515625" customWidth="1"/>
    <col min="14332" max="14332" width="6.7109375" customWidth="1"/>
    <col min="14333" max="14333" width="7.7109375" customWidth="1"/>
    <col min="14334" max="14344" width="11.42578125" hidden="1" customWidth="1"/>
    <col min="14345" max="14345" width="9" customWidth="1"/>
    <col min="14350" max="14350" width="19.140625" customWidth="1"/>
    <col min="14585" max="14585" width="4.42578125" customWidth="1"/>
    <col min="14586" max="14586" width="10.7109375" customWidth="1"/>
    <col min="14587" max="14587" width="62.28515625" customWidth="1"/>
    <col min="14588" max="14588" width="6.7109375" customWidth="1"/>
    <col min="14589" max="14589" width="7.7109375" customWidth="1"/>
    <col min="14590" max="14600" width="11.42578125" hidden="1" customWidth="1"/>
    <col min="14601" max="14601" width="9" customWidth="1"/>
    <col min="14606" max="14606" width="19.140625" customWidth="1"/>
    <col min="14841" max="14841" width="4.42578125" customWidth="1"/>
    <col min="14842" max="14842" width="10.7109375" customWidth="1"/>
    <col min="14843" max="14843" width="62.28515625" customWidth="1"/>
    <col min="14844" max="14844" width="6.7109375" customWidth="1"/>
    <col min="14845" max="14845" width="7.7109375" customWidth="1"/>
    <col min="14846" max="14856" width="11.42578125" hidden="1" customWidth="1"/>
    <col min="14857" max="14857" width="9" customWidth="1"/>
    <col min="14862" max="14862" width="19.140625" customWidth="1"/>
    <col min="15097" max="15097" width="4.42578125" customWidth="1"/>
    <col min="15098" max="15098" width="10.7109375" customWidth="1"/>
    <col min="15099" max="15099" width="62.28515625" customWidth="1"/>
    <col min="15100" max="15100" width="6.7109375" customWidth="1"/>
    <col min="15101" max="15101" width="7.7109375" customWidth="1"/>
    <col min="15102" max="15112" width="11.42578125" hidden="1" customWidth="1"/>
    <col min="15113" max="15113" width="9" customWidth="1"/>
    <col min="15118" max="15118" width="19.140625" customWidth="1"/>
    <col min="15353" max="15353" width="4.42578125" customWidth="1"/>
    <col min="15354" max="15354" width="10.7109375" customWidth="1"/>
    <col min="15355" max="15355" width="62.28515625" customWidth="1"/>
    <col min="15356" max="15356" width="6.7109375" customWidth="1"/>
    <col min="15357" max="15357" width="7.7109375" customWidth="1"/>
    <col min="15358" max="15368" width="11.42578125" hidden="1" customWidth="1"/>
    <col min="15369" max="15369" width="9" customWidth="1"/>
    <col min="15374" max="15374" width="19.140625" customWidth="1"/>
    <col min="15609" max="15609" width="4.42578125" customWidth="1"/>
    <col min="15610" max="15610" width="10.7109375" customWidth="1"/>
    <col min="15611" max="15611" width="62.28515625" customWidth="1"/>
    <col min="15612" max="15612" width="6.7109375" customWidth="1"/>
    <col min="15613" max="15613" width="7.7109375" customWidth="1"/>
    <col min="15614" max="15624" width="11.42578125" hidden="1" customWidth="1"/>
    <col min="15625" max="15625" width="9" customWidth="1"/>
    <col min="15630" max="15630" width="19.140625" customWidth="1"/>
    <col min="15865" max="15865" width="4.42578125" customWidth="1"/>
    <col min="15866" max="15866" width="10.7109375" customWidth="1"/>
    <col min="15867" max="15867" width="62.28515625" customWidth="1"/>
    <col min="15868" max="15868" width="6.7109375" customWidth="1"/>
    <col min="15869" max="15869" width="7.7109375" customWidth="1"/>
    <col min="15870" max="15880" width="11.42578125" hidden="1" customWidth="1"/>
    <col min="15881" max="15881" width="9" customWidth="1"/>
    <col min="15886" max="15886" width="19.140625" customWidth="1"/>
    <col min="16121" max="16121" width="4.42578125" customWidth="1"/>
    <col min="16122" max="16122" width="10.7109375" customWidth="1"/>
    <col min="16123" max="16123" width="62.28515625" customWidth="1"/>
    <col min="16124" max="16124" width="6.7109375" customWidth="1"/>
    <col min="16125" max="16125" width="7.7109375" customWidth="1"/>
    <col min="16126" max="16136" width="11.42578125" hidden="1" customWidth="1"/>
    <col min="16137" max="16137" width="9" customWidth="1"/>
    <col min="16142" max="16142" width="19.140625" customWidth="1"/>
  </cols>
  <sheetData>
    <row r="2" spans="2:15" ht="16.5">
      <c r="B2" s="3" t="s">
        <v>187</v>
      </c>
      <c r="C2" s="2"/>
      <c r="D2" s="2"/>
      <c r="E2" s="2"/>
      <c r="F2" s="2"/>
      <c r="G2" s="2"/>
      <c r="H2" s="2"/>
      <c r="I2" s="2"/>
      <c r="J2" s="2"/>
      <c r="K2" s="2"/>
      <c r="L2" s="2"/>
      <c r="M2" s="2"/>
    </row>
    <row r="3" spans="2:15" ht="20.25">
      <c r="B3" s="417" t="s">
        <v>188</v>
      </c>
      <c r="C3" s="417"/>
      <c r="D3" s="417"/>
      <c r="E3" s="417"/>
      <c r="F3" s="417"/>
      <c r="G3" s="417"/>
      <c r="H3" s="417"/>
      <c r="I3" s="417"/>
      <c r="J3" s="417"/>
      <c r="K3" s="417"/>
      <c r="L3" s="417"/>
      <c r="M3" s="417"/>
    </row>
    <row r="4" spans="2:15" ht="16.5">
      <c r="B4" s="2"/>
      <c r="C4" s="2"/>
      <c r="D4" s="2"/>
      <c r="E4" s="2"/>
      <c r="F4" s="2"/>
      <c r="G4" s="2"/>
      <c r="H4" s="2"/>
      <c r="I4" s="2"/>
      <c r="J4" s="2"/>
      <c r="K4" s="2"/>
      <c r="L4" s="2"/>
      <c r="M4" s="2"/>
    </row>
    <row r="5" spans="2:15" ht="16.5">
      <c r="B5" s="521" t="s">
        <v>2</v>
      </c>
      <c r="C5" s="522"/>
      <c r="D5" s="523"/>
      <c r="E5" s="2"/>
      <c r="F5" s="2"/>
      <c r="G5" s="2"/>
      <c r="H5" s="2"/>
      <c r="I5" s="2"/>
      <c r="J5" s="2"/>
      <c r="K5" s="2"/>
      <c r="L5" s="2"/>
      <c r="M5" s="2"/>
    </row>
    <row r="6" spans="2:15" ht="16.5">
      <c r="B6" s="521" t="s">
        <v>3</v>
      </c>
      <c r="C6" s="522"/>
      <c r="D6" s="523"/>
      <c r="E6" s="2"/>
      <c r="F6" s="2"/>
      <c r="G6" s="2"/>
      <c r="H6" s="2"/>
      <c r="I6" s="2"/>
      <c r="J6" s="2"/>
      <c r="K6" s="2"/>
      <c r="L6" s="2"/>
      <c r="M6" s="2"/>
    </row>
    <row r="7" spans="2:15" ht="16.5">
      <c r="B7" s="2"/>
      <c r="C7" s="2"/>
      <c r="D7" s="2"/>
      <c r="E7" s="2"/>
      <c r="F7" s="2"/>
      <c r="G7" s="2"/>
      <c r="H7" s="2"/>
      <c r="I7" s="2"/>
      <c r="J7" s="2"/>
      <c r="K7" s="2"/>
      <c r="L7" s="2"/>
      <c r="M7" s="2"/>
    </row>
    <row r="8" spans="2:15" ht="18.75" customHeight="1">
      <c r="B8" s="527" t="s">
        <v>189</v>
      </c>
      <c r="C8" s="530" t="s">
        <v>11</v>
      </c>
      <c r="D8" s="531"/>
      <c r="E8" s="531"/>
      <c r="F8" s="532"/>
      <c r="G8" s="424" t="s">
        <v>190</v>
      </c>
      <c r="H8" s="424" t="s">
        <v>191</v>
      </c>
      <c r="I8" s="210">
        <v>2026</v>
      </c>
      <c r="J8" s="210">
        <v>2027</v>
      </c>
      <c r="K8" s="210">
        <v>2028</v>
      </c>
      <c r="L8" s="210">
        <v>2029</v>
      </c>
      <c r="M8" s="235">
        <v>2030</v>
      </c>
    </row>
    <row r="9" spans="2:15">
      <c r="B9" s="528"/>
      <c r="C9" s="533"/>
      <c r="D9" s="534"/>
      <c r="E9" s="534"/>
      <c r="F9" s="535"/>
      <c r="G9" s="529"/>
      <c r="H9" s="529"/>
      <c r="I9" s="245" t="s">
        <v>21</v>
      </c>
      <c r="J9" s="245" t="s">
        <v>21</v>
      </c>
      <c r="K9" s="245" t="s">
        <v>21</v>
      </c>
      <c r="L9" s="245" t="s">
        <v>21</v>
      </c>
      <c r="M9" s="246" t="s">
        <v>21</v>
      </c>
    </row>
    <row r="10" spans="2:15">
      <c r="B10" s="237">
        <v>11000</v>
      </c>
      <c r="C10" s="524" t="s">
        <v>192</v>
      </c>
      <c r="D10" s="525"/>
      <c r="E10" s="525"/>
      <c r="F10" s="526"/>
      <c r="G10" s="238"/>
      <c r="H10" s="238"/>
      <c r="I10" s="214"/>
      <c r="J10" s="214"/>
      <c r="K10" s="214"/>
      <c r="L10" s="214"/>
      <c r="M10" s="238"/>
      <c r="O10" s="209"/>
    </row>
    <row r="11" spans="2:15">
      <c r="B11" s="180">
        <v>12000</v>
      </c>
      <c r="C11" s="524" t="s">
        <v>193</v>
      </c>
      <c r="D11" s="525"/>
      <c r="E11" s="525"/>
      <c r="F11" s="526"/>
      <c r="G11" s="175"/>
      <c r="H11" s="175"/>
      <c r="I11" s="215"/>
      <c r="J11" s="215"/>
      <c r="K11" s="215"/>
      <c r="L11" s="215"/>
      <c r="M11" s="175"/>
    </row>
    <row r="12" spans="2:15">
      <c r="B12" s="180">
        <v>13000</v>
      </c>
      <c r="C12" s="524" t="s">
        <v>194</v>
      </c>
      <c r="D12" s="525"/>
      <c r="E12" s="525"/>
      <c r="F12" s="526"/>
      <c r="G12" s="175"/>
      <c r="H12" s="175"/>
      <c r="I12" s="215"/>
      <c r="J12" s="215"/>
      <c r="K12" s="215"/>
      <c r="L12" s="215"/>
      <c r="M12" s="175"/>
    </row>
    <row r="13" spans="2:15">
      <c r="B13" s="180">
        <v>14000</v>
      </c>
      <c r="C13" s="524" t="s">
        <v>195</v>
      </c>
      <c r="D13" s="525"/>
      <c r="E13" s="525"/>
      <c r="F13" s="526"/>
      <c r="G13" s="175"/>
      <c r="H13" s="175"/>
      <c r="I13" s="215"/>
      <c r="J13" s="215"/>
      <c r="K13" s="215"/>
      <c r="L13" s="215"/>
      <c r="M13" s="175"/>
    </row>
    <row r="14" spans="2:15">
      <c r="B14" s="180">
        <v>15000</v>
      </c>
      <c r="C14" s="524" t="s">
        <v>196</v>
      </c>
      <c r="D14" s="525"/>
      <c r="E14" s="525"/>
      <c r="F14" s="526"/>
      <c r="G14" s="175"/>
      <c r="H14" s="175"/>
      <c r="I14" s="215"/>
      <c r="J14" s="215"/>
      <c r="K14" s="215"/>
      <c r="L14" s="215"/>
      <c r="M14" s="175"/>
    </row>
    <row r="15" spans="2:15">
      <c r="B15" s="180">
        <v>16000</v>
      </c>
      <c r="C15" s="524" t="s">
        <v>197</v>
      </c>
      <c r="D15" s="525"/>
      <c r="E15" s="525"/>
      <c r="F15" s="526"/>
      <c r="G15" s="175"/>
      <c r="H15" s="175"/>
      <c r="I15" s="215"/>
      <c r="J15" s="215"/>
      <c r="K15" s="215"/>
      <c r="L15" s="215"/>
      <c r="M15" s="175"/>
    </row>
    <row r="16" spans="2:15">
      <c r="B16" s="180">
        <v>17000</v>
      </c>
      <c r="C16" s="524" t="s">
        <v>198</v>
      </c>
      <c r="D16" s="525"/>
      <c r="E16" s="525"/>
      <c r="F16" s="526"/>
      <c r="G16" s="175"/>
      <c r="H16" s="175"/>
      <c r="I16" s="215"/>
      <c r="J16" s="215"/>
      <c r="K16" s="215"/>
      <c r="L16" s="215"/>
      <c r="M16" s="175"/>
    </row>
    <row r="17" spans="2:13">
      <c r="B17" s="180">
        <v>18000</v>
      </c>
      <c r="C17" s="524" t="s">
        <v>199</v>
      </c>
      <c r="D17" s="525"/>
      <c r="E17" s="525"/>
      <c r="F17" s="526"/>
      <c r="G17" s="175"/>
      <c r="H17" s="175"/>
      <c r="I17" s="215"/>
      <c r="J17" s="215"/>
      <c r="K17" s="215"/>
      <c r="L17" s="215"/>
      <c r="M17" s="175"/>
    </row>
    <row r="18" spans="2:13">
      <c r="B18" s="180">
        <v>19000</v>
      </c>
      <c r="C18" s="524" t="s">
        <v>200</v>
      </c>
      <c r="D18" s="525"/>
      <c r="E18" s="525"/>
      <c r="F18" s="526"/>
      <c r="G18" s="175"/>
      <c r="H18" s="175"/>
      <c r="I18" s="215"/>
      <c r="J18" s="215"/>
      <c r="K18" s="215"/>
      <c r="L18" s="215"/>
      <c r="M18" s="175"/>
    </row>
    <row r="19" spans="2:13">
      <c r="B19" s="180">
        <v>21000</v>
      </c>
      <c r="C19" s="524" t="s">
        <v>201</v>
      </c>
      <c r="D19" s="525"/>
      <c r="E19" s="525"/>
      <c r="F19" s="526"/>
      <c r="G19" s="175"/>
      <c r="H19" s="175"/>
      <c r="I19" s="215"/>
      <c r="J19" s="215"/>
      <c r="K19" s="215"/>
      <c r="L19" s="215"/>
      <c r="M19" s="175"/>
    </row>
    <row r="20" spans="2:13">
      <c r="B20" s="180">
        <v>22000</v>
      </c>
      <c r="C20" s="524" t="s">
        <v>202</v>
      </c>
      <c r="D20" s="525"/>
      <c r="E20" s="525"/>
      <c r="F20" s="526"/>
      <c r="G20" s="175"/>
      <c r="H20" s="175"/>
      <c r="I20" s="215"/>
      <c r="J20" s="215"/>
      <c r="K20" s="215"/>
      <c r="L20" s="215"/>
      <c r="M20" s="175"/>
    </row>
    <row r="21" spans="2:13">
      <c r="B21" s="180">
        <v>23000</v>
      </c>
      <c r="C21" s="524" t="s">
        <v>203</v>
      </c>
      <c r="D21" s="525"/>
      <c r="E21" s="525"/>
      <c r="F21" s="526"/>
      <c r="G21" s="175"/>
      <c r="H21" s="175"/>
      <c r="I21" s="215"/>
      <c r="J21" s="215"/>
      <c r="K21" s="215"/>
      <c r="L21" s="215"/>
      <c r="M21" s="175"/>
    </row>
    <row r="22" spans="2:13">
      <c r="B22" s="239">
        <v>31000</v>
      </c>
      <c r="C22" s="240" t="s">
        <v>204</v>
      </c>
      <c r="D22" s="241"/>
      <c r="E22" s="241"/>
      <c r="F22" s="242"/>
      <c r="G22" s="243"/>
      <c r="H22" s="243"/>
      <c r="I22" s="247"/>
      <c r="J22" s="247"/>
      <c r="K22" s="247"/>
      <c r="L22" s="247"/>
      <c r="M22" s="243"/>
    </row>
    <row r="23" spans="2:13">
      <c r="B23" s="239">
        <v>32000</v>
      </c>
      <c r="C23" s="536" t="s">
        <v>205</v>
      </c>
      <c r="D23" s="537"/>
      <c r="E23" s="537"/>
      <c r="F23" s="538"/>
      <c r="G23" s="243"/>
      <c r="H23" s="243"/>
      <c r="I23" s="247"/>
      <c r="J23" s="247"/>
      <c r="K23" s="247"/>
      <c r="L23" s="247"/>
      <c r="M23" s="243"/>
    </row>
    <row r="24" spans="2:13">
      <c r="B24" s="239">
        <v>33000</v>
      </c>
      <c r="C24" s="536" t="s">
        <v>206</v>
      </c>
      <c r="D24" s="537"/>
      <c r="E24" s="537"/>
      <c r="F24" s="538"/>
      <c r="G24" s="243"/>
      <c r="H24" s="243"/>
      <c r="I24" s="247"/>
      <c r="J24" s="247"/>
      <c r="K24" s="247"/>
      <c r="L24" s="247"/>
      <c r="M24" s="243"/>
    </row>
    <row r="25" spans="2:13">
      <c r="B25" s="239">
        <v>34000</v>
      </c>
      <c r="C25" s="240" t="s">
        <v>207</v>
      </c>
      <c r="D25" s="241"/>
      <c r="E25" s="241"/>
      <c r="F25" s="242"/>
      <c r="G25" s="243"/>
      <c r="H25" s="243"/>
      <c r="I25" s="247"/>
      <c r="J25" s="247"/>
      <c r="K25" s="247"/>
      <c r="L25" s="247"/>
      <c r="M25" s="243"/>
    </row>
    <row r="26" spans="2:13">
      <c r="B26" s="180">
        <v>35000</v>
      </c>
      <c r="C26" s="524" t="s">
        <v>208</v>
      </c>
      <c r="D26" s="525"/>
      <c r="E26" s="525"/>
      <c r="F26" s="526"/>
      <c r="G26" s="175"/>
      <c r="H26" s="175"/>
      <c r="I26" s="215"/>
      <c r="J26" s="215"/>
      <c r="K26" s="215"/>
      <c r="L26" s="215"/>
      <c r="M26" s="175"/>
    </row>
    <row r="27" spans="2:13">
      <c r="B27" s="180">
        <v>36000</v>
      </c>
      <c r="C27" s="524" t="s">
        <v>209</v>
      </c>
      <c r="D27" s="525"/>
      <c r="E27" s="525"/>
      <c r="F27" s="526"/>
      <c r="G27" s="175"/>
      <c r="H27" s="175"/>
      <c r="I27" s="215"/>
      <c r="J27" s="215"/>
      <c r="K27" s="215"/>
      <c r="L27" s="215"/>
      <c r="M27" s="175"/>
    </row>
    <row r="28" spans="2:13">
      <c r="B28" s="180">
        <v>37000</v>
      </c>
      <c r="C28" s="524" t="s">
        <v>210</v>
      </c>
      <c r="D28" s="525"/>
      <c r="E28" s="525"/>
      <c r="F28" s="526"/>
      <c r="G28" s="175"/>
      <c r="H28" s="175"/>
      <c r="I28" s="215"/>
      <c r="J28" s="215"/>
      <c r="K28" s="215"/>
      <c r="L28" s="215"/>
      <c r="M28" s="175"/>
    </row>
    <row r="29" spans="2:13">
      <c r="B29" s="180">
        <v>38000</v>
      </c>
      <c r="C29" s="524" t="s">
        <v>211</v>
      </c>
      <c r="D29" s="525"/>
      <c r="E29" s="525"/>
      <c r="F29" s="526"/>
      <c r="G29" s="175"/>
      <c r="H29" s="175"/>
      <c r="I29" s="215"/>
      <c r="J29" s="215"/>
      <c r="K29" s="215"/>
      <c r="L29" s="215"/>
      <c r="M29" s="175"/>
    </row>
    <row r="30" spans="2:13">
      <c r="B30" s="180">
        <v>39000</v>
      </c>
      <c r="C30" s="524" t="s">
        <v>212</v>
      </c>
      <c r="D30" s="525"/>
      <c r="E30" s="525"/>
      <c r="F30" s="526"/>
      <c r="G30" s="175"/>
      <c r="H30" s="175"/>
      <c r="I30" s="215"/>
      <c r="J30" s="215"/>
      <c r="K30" s="215"/>
      <c r="L30" s="215"/>
      <c r="M30" s="175"/>
    </row>
    <row r="31" spans="2:13">
      <c r="B31" s="426" t="s">
        <v>213</v>
      </c>
      <c r="C31" s="427"/>
      <c r="D31" s="427"/>
      <c r="E31" s="427"/>
      <c r="F31" s="427"/>
      <c r="G31" s="427"/>
      <c r="H31" s="429"/>
      <c r="I31" s="177"/>
      <c r="J31" s="177"/>
      <c r="K31" s="177"/>
      <c r="L31" s="177"/>
      <c r="M31" s="248"/>
    </row>
    <row r="32" spans="2:13">
      <c r="B32" s="244" t="s">
        <v>214</v>
      </c>
      <c r="C32" s="176"/>
      <c r="D32" s="176"/>
      <c r="E32" s="176"/>
      <c r="F32" s="176"/>
      <c r="G32" s="176"/>
      <c r="H32" s="176"/>
      <c r="I32" s="176"/>
      <c r="J32" s="176"/>
      <c r="K32" s="176"/>
      <c r="L32" s="176"/>
      <c r="M32" s="176"/>
    </row>
    <row r="33" spans="2:13" hidden="1">
      <c r="B33" s="176"/>
      <c r="C33" s="176"/>
      <c r="D33" s="176"/>
      <c r="E33" s="176"/>
      <c r="F33" s="176"/>
      <c r="G33" s="176"/>
      <c r="H33" s="176"/>
      <c r="I33" s="176"/>
      <c r="J33" s="176"/>
      <c r="K33" s="176"/>
      <c r="L33" s="176"/>
      <c r="M33" s="176"/>
    </row>
    <row r="34" spans="2:13">
      <c r="B34" s="176"/>
      <c r="C34" s="176"/>
      <c r="D34" s="176"/>
      <c r="E34" s="176"/>
      <c r="F34" s="176"/>
      <c r="G34" s="176"/>
      <c r="H34" s="176"/>
      <c r="I34" s="176"/>
      <c r="J34" s="176"/>
      <c r="K34" s="176"/>
      <c r="L34" s="176"/>
      <c r="M34" s="176"/>
    </row>
    <row r="35" spans="2:13">
      <c r="B35" s="426" t="s">
        <v>40</v>
      </c>
      <c r="C35" s="429"/>
      <c r="D35" s="428" t="s">
        <v>41</v>
      </c>
      <c r="E35" s="427"/>
      <c r="F35" s="427"/>
      <c r="G35" s="427"/>
      <c r="H35" s="427"/>
      <c r="I35" s="427"/>
      <c r="J35" s="429"/>
      <c r="K35" s="427" t="s">
        <v>42</v>
      </c>
      <c r="L35" s="427"/>
      <c r="M35" s="430"/>
    </row>
    <row r="36" spans="2:13">
      <c r="B36" s="539" t="s">
        <v>43</v>
      </c>
      <c r="C36" s="540"/>
      <c r="D36" s="217"/>
      <c r="E36" s="218"/>
      <c r="F36" s="218"/>
      <c r="G36" s="218"/>
      <c r="H36" s="218"/>
      <c r="I36" s="218"/>
      <c r="J36" s="219"/>
      <c r="K36" s="217"/>
      <c r="L36" s="218"/>
      <c r="M36" s="219"/>
    </row>
    <row r="37" spans="2:13">
      <c r="B37" s="539" t="s">
        <v>44</v>
      </c>
      <c r="C37" s="540"/>
      <c r="D37" s="217"/>
      <c r="E37" s="218"/>
      <c r="F37" s="218"/>
      <c r="G37" s="218"/>
      <c r="H37" s="218"/>
      <c r="I37" s="218"/>
      <c r="J37" s="219"/>
      <c r="K37" s="217"/>
      <c r="L37" s="218"/>
      <c r="M37" s="219"/>
    </row>
    <row r="38" spans="2:13">
      <c r="B38" s="539" t="s">
        <v>45</v>
      </c>
      <c r="C38" s="540"/>
      <c r="D38" s="217"/>
      <c r="E38" s="218"/>
      <c r="F38" s="218"/>
      <c r="G38" s="218"/>
      <c r="H38" s="218"/>
      <c r="I38" s="218"/>
      <c r="J38" s="219"/>
      <c r="K38" s="217"/>
      <c r="L38" s="218"/>
      <c r="M38" s="219"/>
    </row>
    <row r="39" spans="2:13">
      <c r="B39" s="539" t="s">
        <v>46</v>
      </c>
      <c r="C39" s="540"/>
      <c r="D39" s="217"/>
      <c r="E39" s="218"/>
      <c r="F39" s="218"/>
      <c r="G39" s="218"/>
      <c r="H39" s="218"/>
      <c r="I39" s="218"/>
      <c r="J39" s="219"/>
      <c r="K39" s="217"/>
      <c r="L39" s="218"/>
      <c r="M39" s="219"/>
    </row>
    <row r="40" spans="2:13">
      <c r="B40" s="176"/>
      <c r="C40" s="176"/>
      <c r="D40" s="176"/>
      <c r="E40" s="176"/>
      <c r="F40" s="176"/>
      <c r="G40" s="176"/>
      <c r="H40" s="176"/>
      <c r="I40" s="176"/>
      <c r="J40" s="176"/>
      <c r="K40" s="176"/>
      <c r="L40" s="176"/>
      <c r="M40" s="223" t="s">
        <v>47</v>
      </c>
    </row>
    <row r="41" spans="2:13" ht="16.5">
      <c r="B41" s="2"/>
      <c r="C41" s="2"/>
      <c r="D41" s="2"/>
      <c r="E41" s="2"/>
      <c r="F41" s="2"/>
      <c r="G41" s="2"/>
      <c r="H41" s="2"/>
      <c r="I41" s="2"/>
      <c r="J41" s="2"/>
      <c r="K41" s="2"/>
      <c r="L41" s="2"/>
      <c r="M41" s="2"/>
    </row>
    <row r="42" spans="2:13" ht="16.5">
      <c r="B42" s="2"/>
      <c r="C42" s="2"/>
      <c r="D42" s="2"/>
      <c r="E42" s="2"/>
      <c r="F42" s="2"/>
      <c r="G42" s="2"/>
      <c r="H42" s="2"/>
      <c r="I42" s="2"/>
      <c r="J42" s="2"/>
      <c r="K42" s="2"/>
      <c r="L42" s="2"/>
      <c r="M42" s="2"/>
    </row>
  </sheetData>
  <mergeCells count="34">
    <mergeCell ref="K35:M35"/>
    <mergeCell ref="B36:C36"/>
    <mergeCell ref="B37:C37"/>
    <mergeCell ref="B38:C38"/>
    <mergeCell ref="B39:C39"/>
    <mergeCell ref="C29:F29"/>
    <mergeCell ref="C30:F30"/>
    <mergeCell ref="B31:H31"/>
    <mergeCell ref="B35:C35"/>
    <mergeCell ref="D35:J35"/>
    <mergeCell ref="C23:F23"/>
    <mergeCell ref="C24:F24"/>
    <mergeCell ref="C26:F26"/>
    <mergeCell ref="C27:F27"/>
    <mergeCell ref="C28:F28"/>
    <mergeCell ref="C17:F17"/>
    <mergeCell ref="C18:F18"/>
    <mergeCell ref="C19:F19"/>
    <mergeCell ref="C20:F20"/>
    <mergeCell ref="C21:F21"/>
    <mergeCell ref="C12:F12"/>
    <mergeCell ref="C13:F13"/>
    <mergeCell ref="C14:F14"/>
    <mergeCell ref="C15:F15"/>
    <mergeCell ref="C16:F16"/>
    <mergeCell ref="B3:M3"/>
    <mergeCell ref="B5:D5"/>
    <mergeCell ref="B6:D6"/>
    <mergeCell ref="C10:F10"/>
    <mergeCell ref="C11:F11"/>
    <mergeCell ref="B8:B9"/>
    <mergeCell ref="G8:G9"/>
    <mergeCell ref="H8:H9"/>
    <mergeCell ref="C8:F9"/>
  </mergeCells>
  <printOptions horizontalCentered="1"/>
  <pageMargins left="0.7" right="0.7" top="0.75" bottom="0.75" header="0.3" footer="0.3"/>
  <pageSetup scale="52"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499984740745262"/>
    <pageSetUpPr fitToPage="1"/>
  </sheetPr>
  <dimension ref="B2:WVV35"/>
  <sheetViews>
    <sheetView showGridLines="0" workbookViewId="0"/>
  </sheetViews>
  <sheetFormatPr baseColWidth="10" defaultColWidth="11.42578125" defaultRowHeight="15"/>
  <cols>
    <col min="1" max="1" width="4.42578125" customWidth="1"/>
    <col min="2" max="2" width="8.5703125" hidden="1" customWidth="1"/>
    <col min="3" max="5" width="18.5703125" customWidth="1"/>
    <col min="6" max="6" width="11.28515625" customWidth="1"/>
    <col min="7" max="7" width="70.28515625" customWidth="1"/>
    <col min="8" max="13" width="17.28515625" customWidth="1"/>
    <col min="14" max="14" width="15.28515625" customWidth="1"/>
    <col min="20" max="20" width="19.140625" customWidth="1"/>
    <col min="244" max="244" width="4.42578125" customWidth="1"/>
    <col min="245" max="245" width="1.85546875" customWidth="1"/>
    <col min="246" max="246" width="11.42578125" hidden="1" customWidth="1"/>
    <col min="247" max="247" width="13.28515625" customWidth="1"/>
    <col min="248" max="248" width="17" customWidth="1"/>
    <col min="249" max="249" width="13.28515625" customWidth="1"/>
    <col min="250" max="250" width="6.7109375" customWidth="1"/>
    <col min="251" max="251" width="30.42578125" customWidth="1"/>
    <col min="252" max="252" width="6.7109375" customWidth="1"/>
    <col min="253" max="253" width="7.7109375" customWidth="1"/>
    <col min="254" max="264" width="11.42578125" hidden="1" customWidth="1"/>
    <col min="265" max="269" width="9" customWidth="1"/>
    <col min="270" max="270" width="11.42578125" hidden="1" customWidth="1"/>
    <col min="276" max="276" width="19.140625" customWidth="1"/>
    <col min="500" max="500" width="4.42578125" customWidth="1"/>
    <col min="501" max="501" width="1.85546875" customWidth="1"/>
    <col min="502" max="502" width="11.42578125" hidden="1" customWidth="1"/>
    <col min="503" max="503" width="13.28515625" customWidth="1"/>
    <col min="504" max="504" width="17" customWidth="1"/>
    <col min="505" max="505" width="13.28515625" customWidth="1"/>
    <col min="506" max="506" width="6.7109375" customWidth="1"/>
    <col min="507" max="507" width="30.42578125" customWidth="1"/>
    <col min="508" max="508" width="6.7109375" customWidth="1"/>
    <col min="509" max="509" width="7.7109375" customWidth="1"/>
    <col min="510" max="520" width="11.42578125" hidden="1" customWidth="1"/>
    <col min="521" max="525" width="9" customWidth="1"/>
    <col min="526" max="526" width="11.42578125" hidden="1" customWidth="1"/>
    <col min="532" max="532" width="19.140625" customWidth="1"/>
    <col min="756" max="756" width="4.42578125" customWidth="1"/>
    <col min="757" max="757" width="1.85546875" customWidth="1"/>
    <col min="758" max="758" width="11.42578125" hidden="1" customWidth="1"/>
    <col min="759" max="759" width="13.28515625" customWidth="1"/>
    <col min="760" max="760" width="17" customWidth="1"/>
    <col min="761" max="761" width="13.28515625" customWidth="1"/>
    <col min="762" max="762" width="6.7109375" customWidth="1"/>
    <col min="763" max="763" width="30.42578125" customWidth="1"/>
    <col min="764" max="764" width="6.7109375" customWidth="1"/>
    <col min="765" max="765" width="7.7109375" customWidth="1"/>
    <col min="766" max="776" width="11.42578125" hidden="1" customWidth="1"/>
    <col min="777" max="781" width="9" customWidth="1"/>
    <col min="782" max="782" width="11.42578125" hidden="1" customWidth="1"/>
    <col min="788" max="788" width="19.140625" customWidth="1"/>
    <col min="1012" max="1012" width="4.42578125" customWidth="1"/>
    <col min="1013" max="1013" width="1.85546875" customWidth="1"/>
    <col min="1014" max="1014" width="11.42578125" hidden="1" customWidth="1"/>
    <col min="1015" max="1015" width="13.28515625" customWidth="1"/>
    <col min="1016" max="1016" width="17" customWidth="1"/>
    <col min="1017" max="1017" width="13.28515625" customWidth="1"/>
    <col min="1018" max="1018" width="6.7109375" customWidth="1"/>
    <col min="1019" max="1019" width="30.42578125" customWidth="1"/>
    <col min="1020" max="1020" width="6.7109375" customWidth="1"/>
    <col min="1021" max="1021" width="7.7109375" customWidth="1"/>
    <col min="1022" max="1032" width="11.42578125" hidden="1" customWidth="1"/>
    <col min="1033" max="1037" width="9" customWidth="1"/>
    <col min="1038" max="1038" width="11.42578125" hidden="1" customWidth="1"/>
    <col min="1044" max="1044" width="19.140625" customWidth="1"/>
    <col min="1268" max="1268" width="4.42578125" customWidth="1"/>
    <col min="1269" max="1269" width="1.85546875" customWidth="1"/>
    <col min="1270" max="1270" width="11.42578125" hidden="1" customWidth="1"/>
    <col min="1271" max="1271" width="13.28515625" customWidth="1"/>
    <col min="1272" max="1272" width="17" customWidth="1"/>
    <col min="1273" max="1273" width="13.28515625" customWidth="1"/>
    <col min="1274" max="1274" width="6.7109375" customWidth="1"/>
    <col min="1275" max="1275" width="30.42578125" customWidth="1"/>
    <col min="1276" max="1276" width="6.7109375" customWidth="1"/>
    <col min="1277" max="1277" width="7.7109375" customWidth="1"/>
    <col min="1278" max="1288" width="11.42578125" hidden="1" customWidth="1"/>
    <col min="1289" max="1293" width="9" customWidth="1"/>
    <col min="1294" max="1294" width="11.42578125" hidden="1" customWidth="1"/>
    <col min="1300" max="1300" width="19.140625" customWidth="1"/>
    <col min="1524" max="1524" width="4.42578125" customWidth="1"/>
    <col min="1525" max="1525" width="1.85546875" customWidth="1"/>
    <col min="1526" max="1526" width="11.42578125" hidden="1" customWidth="1"/>
    <col min="1527" max="1527" width="13.28515625" customWidth="1"/>
    <col min="1528" max="1528" width="17" customWidth="1"/>
    <col min="1529" max="1529" width="13.28515625" customWidth="1"/>
    <col min="1530" max="1530" width="6.7109375" customWidth="1"/>
    <col min="1531" max="1531" width="30.42578125" customWidth="1"/>
    <col min="1532" max="1532" width="6.7109375" customWidth="1"/>
    <col min="1533" max="1533" width="7.7109375" customWidth="1"/>
    <col min="1534" max="1544" width="11.42578125" hidden="1" customWidth="1"/>
    <col min="1545" max="1549" width="9" customWidth="1"/>
    <col min="1550" max="1550" width="11.42578125" hidden="1" customWidth="1"/>
    <col min="1556" max="1556" width="19.140625" customWidth="1"/>
    <col min="1780" max="1780" width="4.42578125" customWidth="1"/>
    <col min="1781" max="1781" width="1.85546875" customWidth="1"/>
    <col min="1782" max="1782" width="11.42578125" hidden="1" customWidth="1"/>
    <col min="1783" max="1783" width="13.28515625" customWidth="1"/>
    <col min="1784" max="1784" width="17" customWidth="1"/>
    <col min="1785" max="1785" width="13.28515625" customWidth="1"/>
    <col min="1786" max="1786" width="6.7109375" customWidth="1"/>
    <col min="1787" max="1787" width="30.42578125" customWidth="1"/>
    <col min="1788" max="1788" width="6.7109375" customWidth="1"/>
    <col min="1789" max="1789" width="7.7109375" customWidth="1"/>
    <col min="1790" max="1800" width="11.42578125" hidden="1" customWidth="1"/>
    <col min="1801" max="1805" width="9" customWidth="1"/>
    <col min="1806" max="1806" width="11.42578125" hidden="1" customWidth="1"/>
    <col min="1812" max="1812" width="19.140625" customWidth="1"/>
    <col min="2036" max="2036" width="4.42578125" customWidth="1"/>
    <col min="2037" max="2037" width="1.85546875" customWidth="1"/>
    <col min="2038" max="2038" width="11.42578125" hidden="1" customWidth="1"/>
    <col min="2039" max="2039" width="13.28515625" customWidth="1"/>
    <col min="2040" max="2040" width="17" customWidth="1"/>
    <col min="2041" max="2041" width="13.28515625" customWidth="1"/>
    <col min="2042" max="2042" width="6.7109375" customWidth="1"/>
    <col min="2043" max="2043" width="30.42578125" customWidth="1"/>
    <col min="2044" max="2044" width="6.7109375" customWidth="1"/>
    <col min="2045" max="2045" width="7.7109375" customWidth="1"/>
    <col min="2046" max="2056" width="11.42578125" hidden="1" customWidth="1"/>
    <col min="2057" max="2061" width="9" customWidth="1"/>
    <col min="2062" max="2062" width="11.42578125" hidden="1" customWidth="1"/>
    <col min="2068" max="2068" width="19.140625" customWidth="1"/>
    <col min="2292" max="2292" width="4.42578125" customWidth="1"/>
    <col min="2293" max="2293" width="1.85546875" customWidth="1"/>
    <col min="2294" max="2294" width="11.42578125" hidden="1" customWidth="1"/>
    <col min="2295" max="2295" width="13.28515625" customWidth="1"/>
    <col min="2296" max="2296" width="17" customWidth="1"/>
    <col min="2297" max="2297" width="13.28515625" customWidth="1"/>
    <col min="2298" max="2298" width="6.7109375" customWidth="1"/>
    <col min="2299" max="2299" width="30.42578125" customWidth="1"/>
    <col min="2300" max="2300" width="6.7109375" customWidth="1"/>
    <col min="2301" max="2301" width="7.7109375" customWidth="1"/>
    <col min="2302" max="2312" width="11.42578125" hidden="1" customWidth="1"/>
    <col min="2313" max="2317" width="9" customWidth="1"/>
    <col min="2318" max="2318" width="11.42578125" hidden="1" customWidth="1"/>
    <col min="2324" max="2324" width="19.140625" customWidth="1"/>
    <col min="2548" max="2548" width="4.42578125" customWidth="1"/>
    <col min="2549" max="2549" width="1.85546875" customWidth="1"/>
    <col min="2550" max="2550" width="11.42578125" hidden="1" customWidth="1"/>
    <col min="2551" max="2551" width="13.28515625" customWidth="1"/>
    <col min="2552" max="2552" width="17" customWidth="1"/>
    <col min="2553" max="2553" width="13.28515625" customWidth="1"/>
    <col min="2554" max="2554" width="6.7109375" customWidth="1"/>
    <col min="2555" max="2555" width="30.42578125" customWidth="1"/>
    <col min="2556" max="2556" width="6.7109375" customWidth="1"/>
    <col min="2557" max="2557" width="7.7109375" customWidth="1"/>
    <col min="2558" max="2568" width="11.42578125" hidden="1" customWidth="1"/>
    <col min="2569" max="2573" width="9" customWidth="1"/>
    <col min="2574" max="2574" width="11.42578125" hidden="1" customWidth="1"/>
    <col min="2580" max="2580" width="19.140625" customWidth="1"/>
    <col min="2804" max="2804" width="4.42578125" customWidth="1"/>
    <col min="2805" max="2805" width="1.85546875" customWidth="1"/>
    <col min="2806" max="2806" width="11.42578125" hidden="1" customWidth="1"/>
    <col min="2807" max="2807" width="13.28515625" customWidth="1"/>
    <col min="2808" max="2808" width="17" customWidth="1"/>
    <col min="2809" max="2809" width="13.28515625" customWidth="1"/>
    <col min="2810" max="2810" width="6.7109375" customWidth="1"/>
    <col min="2811" max="2811" width="30.42578125" customWidth="1"/>
    <col min="2812" max="2812" width="6.7109375" customWidth="1"/>
    <col min="2813" max="2813" width="7.7109375" customWidth="1"/>
    <col min="2814" max="2824" width="11.42578125" hidden="1" customWidth="1"/>
    <col min="2825" max="2829" width="9" customWidth="1"/>
    <col min="2830" max="2830" width="11.42578125" hidden="1" customWidth="1"/>
    <col min="2836" max="2836" width="19.140625" customWidth="1"/>
    <col min="3060" max="3060" width="4.42578125" customWidth="1"/>
    <col min="3061" max="3061" width="1.85546875" customWidth="1"/>
    <col min="3062" max="3062" width="11.42578125" hidden="1" customWidth="1"/>
    <col min="3063" max="3063" width="13.28515625" customWidth="1"/>
    <col min="3064" max="3064" width="17" customWidth="1"/>
    <col min="3065" max="3065" width="13.28515625" customWidth="1"/>
    <col min="3066" max="3066" width="6.7109375" customWidth="1"/>
    <col min="3067" max="3067" width="30.42578125" customWidth="1"/>
    <col min="3068" max="3068" width="6.7109375" customWidth="1"/>
    <col min="3069" max="3069" width="7.7109375" customWidth="1"/>
    <col min="3070" max="3080" width="11.42578125" hidden="1" customWidth="1"/>
    <col min="3081" max="3085" width="9" customWidth="1"/>
    <col min="3086" max="3086" width="11.42578125" hidden="1" customWidth="1"/>
    <col min="3092" max="3092" width="19.140625" customWidth="1"/>
    <col min="3316" max="3316" width="4.42578125" customWidth="1"/>
    <col min="3317" max="3317" width="1.85546875" customWidth="1"/>
    <col min="3318" max="3318" width="11.42578125" hidden="1" customWidth="1"/>
    <col min="3319" max="3319" width="13.28515625" customWidth="1"/>
    <col min="3320" max="3320" width="17" customWidth="1"/>
    <col min="3321" max="3321" width="13.28515625" customWidth="1"/>
    <col min="3322" max="3322" width="6.7109375" customWidth="1"/>
    <col min="3323" max="3323" width="30.42578125" customWidth="1"/>
    <col min="3324" max="3324" width="6.7109375" customWidth="1"/>
    <col min="3325" max="3325" width="7.7109375" customWidth="1"/>
    <col min="3326" max="3336" width="11.42578125" hidden="1" customWidth="1"/>
    <col min="3337" max="3341" width="9" customWidth="1"/>
    <col min="3342" max="3342" width="11.42578125" hidden="1" customWidth="1"/>
    <col min="3348" max="3348" width="19.140625" customWidth="1"/>
    <col min="3572" max="3572" width="4.42578125" customWidth="1"/>
    <col min="3573" max="3573" width="1.85546875" customWidth="1"/>
    <col min="3574" max="3574" width="11.42578125" hidden="1" customWidth="1"/>
    <col min="3575" max="3575" width="13.28515625" customWidth="1"/>
    <col min="3576" max="3576" width="17" customWidth="1"/>
    <col min="3577" max="3577" width="13.28515625" customWidth="1"/>
    <col min="3578" max="3578" width="6.7109375" customWidth="1"/>
    <col min="3579" max="3579" width="30.42578125" customWidth="1"/>
    <col min="3580" max="3580" width="6.7109375" customWidth="1"/>
    <col min="3581" max="3581" width="7.7109375" customWidth="1"/>
    <col min="3582" max="3592" width="11.42578125" hidden="1" customWidth="1"/>
    <col min="3593" max="3597" width="9" customWidth="1"/>
    <col min="3598" max="3598" width="11.42578125" hidden="1" customWidth="1"/>
    <col min="3604" max="3604" width="19.140625" customWidth="1"/>
    <col min="3828" max="3828" width="4.42578125" customWidth="1"/>
    <col min="3829" max="3829" width="1.85546875" customWidth="1"/>
    <col min="3830" max="3830" width="11.42578125" hidden="1" customWidth="1"/>
    <col min="3831" max="3831" width="13.28515625" customWidth="1"/>
    <col min="3832" max="3832" width="17" customWidth="1"/>
    <col min="3833" max="3833" width="13.28515625" customWidth="1"/>
    <col min="3834" max="3834" width="6.7109375" customWidth="1"/>
    <col min="3835" max="3835" width="30.42578125" customWidth="1"/>
    <col min="3836" max="3836" width="6.7109375" customWidth="1"/>
    <col min="3837" max="3837" width="7.7109375" customWidth="1"/>
    <col min="3838" max="3848" width="11.42578125" hidden="1" customWidth="1"/>
    <col min="3849" max="3853" width="9" customWidth="1"/>
    <col min="3854" max="3854" width="11.42578125" hidden="1" customWidth="1"/>
    <col min="3860" max="3860" width="19.140625" customWidth="1"/>
    <col min="4084" max="4084" width="4.42578125" customWidth="1"/>
    <col min="4085" max="4085" width="1.85546875" customWidth="1"/>
    <col min="4086" max="4086" width="11.42578125" hidden="1" customWidth="1"/>
    <col min="4087" max="4087" width="13.28515625" customWidth="1"/>
    <col min="4088" max="4088" width="17" customWidth="1"/>
    <col min="4089" max="4089" width="13.28515625" customWidth="1"/>
    <col min="4090" max="4090" width="6.7109375" customWidth="1"/>
    <col min="4091" max="4091" width="30.42578125" customWidth="1"/>
    <col min="4092" max="4092" width="6.7109375" customWidth="1"/>
    <col min="4093" max="4093" width="7.7109375" customWidth="1"/>
    <col min="4094" max="4104" width="11.42578125" hidden="1" customWidth="1"/>
    <col min="4105" max="4109" width="9" customWidth="1"/>
    <col min="4110" max="4110" width="11.42578125" hidden="1" customWidth="1"/>
    <col min="4116" max="4116" width="19.140625" customWidth="1"/>
    <col min="4340" max="4340" width="4.42578125" customWidth="1"/>
    <col min="4341" max="4341" width="1.85546875" customWidth="1"/>
    <col min="4342" max="4342" width="11.42578125" hidden="1" customWidth="1"/>
    <col min="4343" max="4343" width="13.28515625" customWidth="1"/>
    <col min="4344" max="4344" width="17" customWidth="1"/>
    <col min="4345" max="4345" width="13.28515625" customWidth="1"/>
    <col min="4346" max="4346" width="6.7109375" customWidth="1"/>
    <col min="4347" max="4347" width="30.42578125" customWidth="1"/>
    <col min="4348" max="4348" width="6.7109375" customWidth="1"/>
    <col min="4349" max="4349" width="7.7109375" customWidth="1"/>
    <col min="4350" max="4360" width="11.42578125" hidden="1" customWidth="1"/>
    <col min="4361" max="4365" width="9" customWidth="1"/>
    <col min="4366" max="4366" width="11.42578125" hidden="1" customWidth="1"/>
    <col min="4372" max="4372" width="19.140625" customWidth="1"/>
    <col min="4596" max="4596" width="4.42578125" customWidth="1"/>
    <col min="4597" max="4597" width="1.85546875" customWidth="1"/>
    <col min="4598" max="4598" width="11.42578125" hidden="1" customWidth="1"/>
    <col min="4599" max="4599" width="13.28515625" customWidth="1"/>
    <col min="4600" max="4600" width="17" customWidth="1"/>
    <col min="4601" max="4601" width="13.28515625" customWidth="1"/>
    <col min="4602" max="4602" width="6.7109375" customWidth="1"/>
    <col min="4603" max="4603" width="30.42578125" customWidth="1"/>
    <col min="4604" max="4604" width="6.7109375" customWidth="1"/>
    <col min="4605" max="4605" width="7.7109375" customWidth="1"/>
    <col min="4606" max="4616" width="11.42578125" hidden="1" customWidth="1"/>
    <col min="4617" max="4621" width="9" customWidth="1"/>
    <col min="4622" max="4622" width="11.42578125" hidden="1" customWidth="1"/>
    <col min="4628" max="4628" width="19.140625" customWidth="1"/>
    <col min="4852" max="4852" width="4.42578125" customWidth="1"/>
    <col min="4853" max="4853" width="1.85546875" customWidth="1"/>
    <col min="4854" max="4854" width="11.42578125" hidden="1" customWidth="1"/>
    <col min="4855" max="4855" width="13.28515625" customWidth="1"/>
    <col min="4856" max="4856" width="17" customWidth="1"/>
    <col min="4857" max="4857" width="13.28515625" customWidth="1"/>
    <col min="4858" max="4858" width="6.7109375" customWidth="1"/>
    <col min="4859" max="4859" width="30.42578125" customWidth="1"/>
    <col min="4860" max="4860" width="6.7109375" customWidth="1"/>
    <col min="4861" max="4861" width="7.7109375" customWidth="1"/>
    <col min="4862" max="4872" width="11.42578125" hidden="1" customWidth="1"/>
    <col min="4873" max="4877" width="9" customWidth="1"/>
    <col min="4878" max="4878" width="11.42578125" hidden="1" customWidth="1"/>
    <col min="4884" max="4884" width="19.140625" customWidth="1"/>
    <col min="5108" max="5108" width="4.42578125" customWidth="1"/>
    <col min="5109" max="5109" width="1.85546875" customWidth="1"/>
    <col min="5110" max="5110" width="11.42578125" hidden="1" customWidth="1"/>
    <col min="5111" max="5111" width="13.28515625" customWidth="1"/>
    <col min="5112" max="5112" width="17" customWidth="1"/>
    <col min="5113" max="5113" width="13.28515625" customWidth="1"/>
    <col min="5114" max="5114" width="6.7109375" customWidth="1"/>
    <col min="5115" max="5115" width="30.42578125" customWidth="1"/>
    <col min="5116" max="5116" width="6.7109375" customWidth="1"/>
    <col min="5117" max="5117" width="7.7109375" customWidth="1"/>
    <col min="5118" max="5128" width="11.42578125" hidden="1" customWidth="1"/>
    <col min="5129" max="5133" width="9" customWidth="1"/>
    <col min="5134" max="5134" width="11.42578125" hidden="1" customWidth="1"/>
    <col min="5140" max="5140" width="19.140625" customWidth="1"/>
    <col min="5364" max="5364" width="4.42578125" customWidth="1"/>
    <col min="5365" max="5365" width="1.85546875" customWidth="1"/>
    <col min="5366" max="5366" width="11.42578125" hidden="1" customWidth="1"/>
    <col min="5367" max="5367" width="13.28515625" customWidth="1"/>
    <col min="5368" max="5368" width="17" customWidth="1"/>
    <col min="5369" max="5369" width="13.28515625" customWidth="1"/>
    <col min="5370" max="5370" width="6.7109375" customWidth="1"/>
    <col min="5371" max="5371" width="30.42578125" customWidth="1"/>
    <col min="5372" max="5372" width="6.7109375" customWidth="1"/>
    <col min="5373" max="5373" width="7.7109375" customWidth="1"/>
    <col min="5374" max="5384" width="11.42578125" hidden="1" customWidth="1"/>
    <col min="5385" max="5389" width="9" customWidth="1"/>
    <col min="5390" max="5390" width="11.42578125" hidden="1" customWidth="1"/>
    <col min="5396" max="5396" width="19.140625" customWidth="1"/>
    <col min="5620" max="5620" width="4.42578125" customWidth="1"/>
    <col min="5621" max="5621" width="1.85546875" customWidth="1"/>
    <col min="5622" max="5622" width="11.42578125" hidden="1" customWidth="1"/>
    <col min="5623" max="5623" width="13.28515625" customWidth="1"/>
    <col min="5624" max="5624" width="17" customWidth="1"/>
    <col min="5625" max="5625" width="13.28515625" customWidth="1"/>
    <col min="5626" max="5626" width="6.7109375" customWidth="1"/>
    <col min="5627" max="5627" width="30.42578125" customWidth="1"/>
    <col min="5628" max="5628" width="6.7109375" customWidth="1"/>
    <col min="5629" max="5629" width="7.7109375" customWidth="1"/>
    <col min="5630" max="5640" width="11.42578125" hidden="1" customWidth="1"/>
    <col min="5641" max="5645" width="9" customWidth="1"/>
    <col min="5646" max="5646" width="11.42578125" hidden="1" customWidth="1"/>
    <col min="5652" max="5652" width="19.140625" customWidth="1"/>
    <col min="5876" max="5876" width="4.42578125" customWidth="1"/>
    <col min="5877" max="5877" width="1.85546875" customWidth="1"/>
    <col min="5878" max="5878" width="11.42578125" hidden="1" customWidth="1"/>
    <col min="5879" max="5879" width="13.28515625" customWidth="1"/>
    <col min="5880" max="5880" width="17" customWidth="1"/>
    <col min="5881" max="5881" width="13.28515625" customWidth="1"/>
    <col min="5882" max="5882" width="6.7109375" customWidth="1"/>
    <col min="5883" max="5883" width="30.42578125" customWidth="1"/>
    <col min="5884" max="5884" width="6.7109375" customWidth="1"/>
    <col min="5885" max="5885" width="7.7109375" customWidth="1"/>
    <col min="5886" max="5896" width="11.42578125" hidden="1" customWidth="1"/>
    <col min="5897" max="5901" width="9" customWidth="1"/>
    <col min="5902" max="5902" width="11.42578125" hidden="1" customWidth="1"/>
    <col min="5908" max="5908" width="19.140625" customWidth="1"/>
    <col min="6132" max="6132" width="4.42578125" customWidth="1"/>
    <col min="6133" max="6133" width="1.85546875" customWidth="1"/>
    <col min="6134" max="6134" width="11.42578125" hidden="1" customWidth="1"/>
    <col min="6135" max="6135" width="13.28515625" customWidth="1"/>
    <col min="6136" max="6136" width="17" customWidth="1"/>
    <col min="6137" max="6137" width="13.28515625" customWidth="1"/>
    <col min="6138" max="6138" width="6.7109375" customWidth="1"/>
    <col min="6139" max="6139" width="30.42578125" customWidth="1"/>
    <col min="6140" max="6140" width="6.7109375" customWidth="1"/>
    <col min="6141" max="6141" width="7.7109375" customWidth="1"/>
    <col min="6142" max="6152" width="11.42578125" hidden="1" customWidth="1"/>
    <col min="6153" max="6157" width="9" customWidth="1"/>
    <col min="6158" max="6158" width="11.42578125" hidden="1" customWidth="1"/>
    <col min="6164" max="6164" width="19.140625" customWidth="1"/>
    <col min="6388" max="6388" width="4.42578125" customWidth="1"/>
    <col min="6389" max="6389" width="1.85546875" customWidth="1"/>
    <col min="6390" max="6390" width="11.42578125" hidden="1" customWidth="1"/>
    <col min="6391" max="6391" width="13.28515625" customWidth="1"/>
    <col min="6392" max="6392" width="17" customWidth="1"/>
    <col min="6393" max="6393" width="13.28515625" customWidth="1"/>
    <col min="6394" max="6394" width="6.7109375" customWidth="1"/>
    <col min="6395" max="6395" width="30.42578125" customWidth="1"/>
    <col min="6396" max="6396" width="6.7109375" customWidth="1"/>
    <col min="6397" max="6397" width="7.7109375" customWidth="1"/>
    <col min="6398" max="6408" width="11.42578125" hidden="1" customWidth="1"/>
    <col min="6409" max="6413" width="9" customWidth="1"/>
    <col min="6414" max="6414" width="11.42578125" hidden="1" customWidth="1"/>
    <col min="6420" max="6420" width="19.140625" customWidth="1"/>
    <col min="6644" max="6644" width="4.42578125" customWidth="1"/>
    <col min="6645" max="6645" width="1.85546875" customWidth="1"/>
    <col min="6646" max="6646" width="11.42578125" hidden="1" customWidth="1"/>
    <col min="6647" max="6647" width="13.28515625" customWidth="1"/>
    <col min="6648" max="6648" width="17" customWidth="1"/>
    <col min="6649" max="6649" width="13.28515625" customWidth="1"/>
    <col min="6650" max="6650" width="6.7109375" customWidth="1"/>
    <col min="6651" max="6651" width="30.42578125" customWidth="1"/>
    <col min="6652" max="6652" width="6.7109375" customWidth="1"/>
    <col min="6653" max="6653" width="7.7109375" customWidth="1"/>
    <col min="6654" max="6664" width="11.42578125" hidden="1" customWidth="1"/>
    <col min="6665" max="6669" width="9" customWidth="1"/>
    <col min="6670" max="6670" width="11.42578125" hidden="1" customWidth="1"/>
    <col min="6676" max="6676" width="19.140625" customWidth="1"/>
    <col min="6900" max="6900" width="4.42578125" customWidth="1"/>
    <col min="6901" max="6901" width="1.85546875" customWidth="1"/>
    <col min="6902" max="6902" width="11.42578125" hidden="1" customWidth="1"/>
    <col min="6903" max="6903" width="13.28515625" customWidth="1"/>
    <col min="6904" max="6904" width="17" customWidth="1"/>
    <col min="6905" max="6905" width="13.28515625" customWidth="1"/>
    <col min="6906" max="6906" width="6.7109375" customWidth="1"/>
    <col min="6907" max="6907" width="30.42578125" customWidth="1"/>
    <col min="6908" max="6908" width="6.7109375" customWidth="1"/>
    <col min="6909" max="6909" width="7.7109375" customWidth="1"/>
    <col min="6910" max="6920" width="11.42578125" hidden="1" customWidth="1"/>
    <col min="6921" max="6925" width="9" customWidth="1"/>
    <col min="6926" max="6926" width="11.42578125" hidden="1" customWidth="1"/>
    <col min="6932" max="6932" width="19.140625" customWidth="1"/>
    <col min="7156" max="7156" width="4.42578125" customWidth="1"/>
    <col min="7157" max="7157" width="1.85546875" customWidth="1"/>
    <col min="7158" max="7158" width="11.42578125" hidden="1" customWidth="1"/>
    <col min="7159" max="7159" width="13.28515625" customWidth="1"/>
    <col min="7160" max="7160" width="17" customWidth="1"/>
    <col min="7161" max="7161" width="13.28515625" customWidth="1"/>
    <col min="7162" max="7162" width="6.7109375" customWidth="1"/>
    <col min="7163" max="7163" width="30.42578125" customWidth="1"/>
    <col min="7164" max="7164" width="6.7109375" customWidth="1"/>
    <col min="7165" max="7165" width="7.7109375" customWidth="1"/>
    <col min="7166" max="7176" width="11.42578125" hidden="1" customWidth="1"/>
    <col min="7177" max="7181" width="9" customWidth="1"/>
    <col min="7182" max="7182" width="11.42578125" hidden="1" customWidth="1"/>
    <col min="7188" max="7188" width="19.140625" customWidth="1"/>
    <col min="7412" max="7412" width="4.42578125" customWidth="1"/>
    <col min="7413" max="7413" width="1.85546875" customWidth="1"/>
    <col min="7414" max="7414" width="11.42578125" hidden="1" customWidth="1"/>
    <col min="7415" max="7415" width="13.28515625" customWidth="1"/>
    <col min="7416" max="7416" width="17" customWidth="1"/>
    <col min="7417" max="7417" width="13.28515625" customWidth="1"/>
    <col min="7418" max="7418" width="6.7109375" customWidth="1"/>
    <col min="7419" max="7419" width="30.42578125" customWidth="1"/>
    <col min="7420" max="7420" width="6.7109375" customWidth="1"/>
    <col min="7421" max="7421" width="7.7109375" customWidth="1"/>
    <col min="7422" max="7432" width="11.42578125" hidden="1" customWidth="1"/>
    <col min="7433" max="7437" width="9" customWidth="1"/>
    <col min="7438" max="7438" width="11.42578125" hidden="1" customWidth="1"/>
    <col min="7444" max="7444" width="19.140625" customWidth="1"/>
    <col min="7668" max="7668" width="4.42578125" customWidth="1"/>
    <col min="7669" max="7669" width="1.85546875" customWidth="1"/>
    <col min="7670" max="7670" width="11.42578125" hidden="1" customWidth="1"/>
    <col min="7671" max="7671" width="13.28515625" customWidth="1"/>
    <col min="7672" max="7672" width="17" customWidth="1"/>
    <col min="7673" max="7673" width="13.28515625" customWidth="1"/>
    <col min="7674" max="7674" width="6.7109375" customWidth="1"/>
    <col min="7675" max="7675" width="30.42578125" customWidth="1"/>
    <col min="7676" max="7676" width="6.7109375" customWidth="1"/>
    <col min="7677" max="7677" width="7.7109375" customWidth="1"/>
    <col min="7678" max="7688" width="11.42578125" hidden="1" customWidth="1"/>
    <col min="7689" max="7693" width="9" customWidth="1"/>
    <col min="7694" max="7694" width="11.42578125" hidden="1" customWidth="1"/>
    <col min="7700" max="7700" width="19.140625" customWidth="1"/>
    <col min="7924" max="7924" width="4.42578125" customWidth="1"/>
    <col min="7925" max="7925" width="1.85546875" customWidth="1"/>
    <col min="7926" max="7926" width="11.42578125" hidden="1" customWidth="1"/>
    <col min="7927" max="7927" width="13.28515625" customWidth="1"/>
    <col min="7928" max="7928" width="17" customWidth="1"/>
    <col min="7929" max="7929" width="13.28515625" customWidth="1"/>
    <col min="7930" max="7930" width="6.7109375" customWidth="1"/>
    <col min="7931" max="7931" width="30.42578125" customWidth="1"/>
    <col min="7932" max="7932" width="6.7109375" customWidth="1"/>
    <col min="7933" max="7933" width="7.7109375" customWidth="1"/>
    <col min="7934" max="7944" width="11.42578125" hidden="1" customWidth="1"/>
    <col min="7945" max="7949" width="9" customWidth="1"/>
    <col min="7950" max="7950" width="11.42578125" hidden="1" customWidth="1"/>
    <col min="7956" max="7956" width="19.140625" customWidth="1"/>
    <col min="8180" max="8180" width="4.42578125" customWidth="1"/>
    <col min="8181" max="8181" width="1.85546875" customWidth="1"/>
    <col min="8182" max="8182" width="11.42578125" hidden="1" customWidth="1"/>
    <col min="8183" max="8183" width="13.28515625" customWidth="1"/>
    <col min="8184" max="8184" width="17" customWidth="1"/>
    <col min="8185" max="8185" width="13.28515625" customWidth="1"/>
    <col min="8186" max="8186" width="6.7109375" customWidth="1"/>
    <col min="8187" max="8187" width="30.42578125" customWidth="1"/>
    <col min="8188" max="8188" width="6.7109375" customWidth="1"/>
    <col min="8189" max="8189" width="7.7109375" customWidth="1"/>
    <col min="8190" max="8200" width="11.42578125" hidden="1" customWidth="1"/>
    <col min="8201" max="8205" width="9" customWidth="1"/>
    <col min="8206" max="8206" width="11.42578125" hidden="1" customWidth="1"/>
    <col min="8212" max="8212" width="19.140625" customWidth="1"/>
    <col min="8436" max="8436" width="4.42578125" customWidth="1"/>
    <col min="8437" max="8437" width="1.85546875" customWidth="1"/>
    <col min="8438" max="8438" width="11.42578125" hidden="1" customWidth="1"/>
    <col min="8439" max="8439" width="13.28515625" customWidth="1"/>
    <col min="8440" max="8440" width="17" customWidth="1"/>
    <col min="8441" max="8441" width="13.28515625" customWidth="1"/>
    <col min="8442" max="8442" width="6.7109375" customWidth="1"/>
    <col min="8443" max="8443" width="30.42578125" customWidth="1"/>
    <col min="8444" max="8444" width="6.7109375" customWidth="1"/>
    <col min="8445" max="8445" width="7.7109375" customWidth="1"/>
    <col min="8446" max="8456" width="11.42578125" hidden="1" customWidth="1"/>
    <col min="8457" max="8461" width="9" customWidth="1"/>
    <col min="8462" max="8462" width="11.42578125" hidden="1" customWidth="1"/>
    <col min="8468" max="8468" width="19.140625" customWidth="1"/>
    <col min="8692" max="8692" width="4.42578125" customWidth="1"/>
    <col min="8693" max="8693" width="1.85546875" customWidth="1"/>
    <col min="8694" max="8694" width="11.42578125" hidden="1" customWidth="1"/>
    <col min="8695" max="8695" width="13.28515625" customWidth="1"/>
    <col min="8696" max="8696" width="17" customWidth="1"/>
    <col min="8697" max="8697" width="13.28515625" customWidth="1"/>
    <col min="8698" max="8698" width="6.7109375" customWidth="1"/>
    <col min="8699" max="8699" width="30.42578125" customWidth="1"/>
    <col min="8700" max="8700" width="6.7109375" customWidth="1"/>
    <col min="8701" max="8701" width="7.7109375" customWidth="1"/>
    <col min="8702" max="8712" width="11.42578125" hidden="1" customWidth="1"/>
    <col min="8713" max="8717" width="9" customWidth="1"/>
    <col min="8718" max="8718" width="11.42578125" hidden="1" customWidth="1"/>
    <col min="8724" max="8724" width="19.140625" customWidth="1"/>
    <col min="8948" max="8948" width="4.42578125" customWidth="1"/>
    <col min="8949" max="8949" width="1.85546875" customWidth="1"/>
    <col min="8950" max="8950" width="11.42578125" hidden="1" customWidth="1"/>
    <col min="8951" max="8951" width="13.28515625" customWidth="1"/>
    <col min="8952" max="8952" width="17" customWidth="1"/>
    <col min="8953" max="8953" width="13.28515625" customWidth="1"/>
    <col min="8954" max="8954" width="6.7109375" customWidth="1"/>
    <col min="8955" max="8955" width="30.42578125" customWidth="1"/>
    <col min="8956" max="8956" width="6.7109375" customWidth="1"/>
    <col min="8957" max="8957" width="7.7109375" customWidth="1"/>
    <col min="8958" max="8968" width="11.42578125" hidden="1" customWidth="1"/>
    <col min="8969" max="8973" width="9" customWidth="1"/>
    <col min="8974" max="8974" width="11.42578125" hidden="1" customWidth="1"/>
    <col min="8980" max="8980" width="19.140625" customWidth="1"/>
    <col min="9204" max="9204" width="4.42578125" customWidth="1"/>
    <col min="9205" max="9205" width="1.85546875" customWidth="1"/>
    <col min="9206" max="9206" width="11.42578125" hidden="1" customWidth="1"/>
    <col min="9207" max="9207" width="13.28515625" customWidth="1"/>
    <col min="9208" max="9208" width="17" customWidth="1"/>
    <col min="9209" max="9209" width="13.28515625" customWidth="1"/>
    <col min="9210" max="9210" width="6.7109375" customWidth="1"/>
    <col min="9211" max="9211" width="30.42578125" customWidth="1"/>
    <col min="9212" max="9212" width="6.7109375" customWidth="1"/>
    <col min="9213" max="9213" width="7.7109375" customWidth="1"/>
    <col min="9214" max="9224" width="11.42578125" hidden="1" customWidth="1"/>
    <col min="9225" max="9229" width="9" customWidth="1"/>
    <col min="9230" max="9230" width="11.42578125" hidden="1" customWidth="1"/>
    <col min="9236" max="9236" width="19.140625" customWidth="1"/>
    <col min="9460" max="9460" width="4.42578125" customWidth="1"/>
    <col min="9461" max="9461" width="1.85546875" customWidth="1"/>
    <col min="9462" max="9462" width="11.42578125" hidden="1" customWidth="1"/>
    <col min="9463" max="9463" width="13.28515625" customWidth="1"/>
    <col min="9464" max="9464" width="17" customWidth="1"/>
    <col min="9465" max="9465" width="13.28515625" customWidth="1"/>
    <col min="9466" max="9466" width="6.7109375" customWidth="1"/>
    <col min="9467" max="9467" width="30.42578125" customWidth="1"/>
    <col min="9468" max="9468" width="6.7109375" customWidth="1"/>
    <col min="9469" max="9469" width="7.7109375" customWidth="1"/>
    <col min="9470" max="9480" width="11.42578125" hidden="1" customWidth="1"/>
    <col min="9481" max="9485" width="9" customWidth="1"/>
    <col min="9486" max="9486" width="11.42578125" hidden="1" customWidth="1"/>
    <col min="9492" max="9492" width="19.140625" customWidth="1"/>
    <col min="9716" max="9716" width="4.42578125" customWidth="1"/>
    <col min="9717" max="9717" width="1.85546875" customWidth="1"/>
    <col min="9718" max="9718" width="11.42578125" hidden="1" customWidth="1"/>
    <col min="9719" max="9719" width="13.28515625" customWidth="1"/>
    <col min="9720" max="9720" width="17" customWidth="1"/>
    <col min="9721" max="9721" width="13.28515625" customWidth="1"/>
    <col min="9722" max="9722" width="6.7109375" customWidth="1"/>
    <col min="9723" max="9723" width="30.42578125" customWidth="1"/>
    <col min="9724" max="9724" width="6.7109375" customWidth="1"/>
    <col min="9725" max="9725" width="7.7109375" customWidth="1"/>
    <col min="9726" max="9736" width="11.42578125" hidden="1" customWidth="1"/>
    <col min="9737" max="9741" width="9" customWidth="1"/>
    <col min="9742" max="9742" width="11.42578125" hidden="1" customWidth="1"/>
    <col min="9748" max="9748" width="19.140625" customWidth="1"/>
    <col min="9972" max="9972" width="4.42578125" customWidth="1"/>
    <col min="9973" max="9973" width="1.85546875" customWidth="1"/>
    <col min="9974" max="9974" width="11.42578125" hidden="1" customWidth="1"/>
    <col min="9975" max="9975" width="13.28515625" customWidth="1"/>
    <col min="9976" max="9976" width="17" customWidth="1"/>
    <col min="9977" max="9977" width="13.28515625" customWidth="1"/>
    <col min="9978" max="9978" width="6.7109375" customWidth="1"/>
    <col min="9979" max="9979" width="30.42578125" customWidth="1"/>
    <col min="9980" max="9980" width="6.7109375" customWidth="1"/>
    <col min="9981" max="9981" width="7.7109375" customWidth="1"/>
    <col min="9982" max="9992" width="11.42578125" hidden="1" customWidth="1"/>
    <col min="9993" max="9997" width="9" customWidth="1"/>
    <col min="9998" max="9998" width="11.42578125" hidden="1" customWidth="1"/>
    <col min="10004" max="10004" width="19.140625" customWidth="1"/>
    <col min="10228" max="10228" width="4.42578125" customWidth="1"/>
    <col min="10229" max="10229" width="1.85546875" customWidth="1"/>
    <col min="10230" max="10230" width="11.42578125" hidden="1" customWidth="1"/>
    <col min="10231" max="10231" width="13.28515625" customWidth="1"/>
    <col min="10232" max="10232" width="17" customWidth="1"/>
    <col min="10233" max="10233" width="13.28515625" customWidth="1"/>
    <col min="10234" max="10234" width="6.7109375" customWidth="1"/>
    <col min="10235" max="10235" width="30.42578125" customWidth="1"/>
    <col min="10236" max="10236" width="6.7109375" customWidth="1"/>
    <col min="10237" max="10237" width="7.7109375" customWidth="1"/>
    <col min="10238" max="10248" width="11.42578125" hidden="1" customWidth="1"/>
    <col min="10249" max="10253" width="9" customWidth="1"/>
    <col min="10254" max="10254" width="11.42578125" hidden="1" customWidth="1"/>
    <col min="10260" max="10260" width="19.140625" customWidth="1"/>
    <col min="10484" max="10484" width="4.42578125" customWidth="1"/>
    <col min="10485" max="10485" width="1.85546875" customWidth="1"/>
    <col min="10486" max="10486" width="11.42578125" hidden="1" customWidth="1"/>
    <col min="10487" max="10487" width="13.28515625" customWidth="1"/>
    <col min="10488" max="10488" width="17" customWidth="1"/>
    <col min="10489" max="10489" width="13.28515625" customWidth="1"/>
    <col min="10490" max="10490" width="6.7109375" customWidth="1"/>
    <col min="10491" max="10491" width="30.42578125" customWidth="1"/>
    <col min="10492" max="10492" width="6.7109375" customWidth="1"/>
    <col min="10493" max="10493" width="7.7109375" customWidth="1"/>
    <col min="10494" max="10504" width="11.42578125" hidden="1" customWidth="1"/>
    <col min="10505" max="10509" width="9" customWidth="1"/>
    <col min="10510" max="10510" width="11.42578125" hidden="1" customWidth="1"/>
    <col min="10516" max="10516" width="19.140625" customWidth="1"/>
    <col min="10740" max="10740" width="4.42578125" customWidth="1"/>
    <col min="10741" max="10741" width="1.85546875" customWidth="1"/>
    <col min="10742" max="10742" width="11.42578125" hidden="1" customWidth="1"/>
    <col min="10743" max="10743" width="13.28515625" customWidth="1"/>
    <col min="10744" max="10744" width="17" customWidth="1"/>
    <col min="10745" max="10745" width="13.28515625" customWidth="1"/>
    <col min="10746" max="10746" width="6.7109375" customWidth="1"/>
    <col min="10747" max="10747" width="30.42578125" customWidth="1"/>
    <col min="10748" max="10748" width="6.7109375" customWidth="1"/>
    <col min="10749" max="10749" width="7.7109375" customWidth="1"/>
    <col min="10750" max="10760" width="11.42578125" hidden="1" customWidth="1"/>
    <col min="10761" max="10765" width="9" customWidth="1"/>
    <col min="10766" max="10766" width="11.42578125" hidden="1" customWidth="1"/>
    <col min="10772" max="10772" width="19.140625" customWidth="1"/>
    <col min="10996" max="10996" width="4.42578125" customWidth="1"/>
    <col min="10997" max="10997" width="1.85546875" customWidth="1"/>
    <col min="10998" max="10998" width="11.42578125" hidden="1" customWidth="1"/>
    <col min="10999" max="10999" width="13.28515625" customWidth="1"/>
    <col min="11000" max="11000" width="17" customWidth="1"/>
    <col min="11001" max="11001" width="13.28515625" customWidth="1"/>
    <col min="11002" max="11002" width="6.7109375" customWidth="1"/>
    <col min="11003" max="11003" width="30.42578125" customWidth="1"/>
    <col min="11004" max="11004" width="6.7109375" customWidth="1"/>
    <col min="11005" max="11005" width="7.7109375" customWidth="1"/>
    <col min="11006" max="11016" width="11.42578125" hidden="1" customWidth="1"/>
    <col min="11017" max="11021" width="9" customWidth="1"/>
    <col min="11022" max="11022" width="11.42578125" hidden="1" customWidth="1"/>
    <col min="11028" max="11028" width="19.140625" customWidth="1"/>
    <col min="11252" max="11252" width="4.42578125" customWidth="1"/>
    <col min="11253" max="11253" width="1.85546875" customWidth="1"/>
    <col min="11254" max="11254" width="11.42578125" hidden="1" customWidth="1"/>
    <col min="11255" max="11255" width="13.28515625" customWidth="1"/>
    <col min="11256" max="11256" width="17" customWidth="1"/>
    <col min="11257" max="11257" width="13.28515625" customWidth="1"/>
    <col min="11258" max="11258" width="6.7109375" customWidth="1"/>
    <col min="11259" max="11259" width="30.42578125" customWidth="1"/>
    <col min="11260" max="11260" width="6.7109375" customWidth="1"/>
    <col min="11261" max="11261" width="7.7109375" customWidth="1"/>
    <col min="11262" max="11272" width="11.42578125" hidden="1" customWidth="1"/>
    <col min="11273" max="11277" width="9" customWidth="1"/>
    <col min="11278" max="11278" width="11.42578125" hidden="1" customWidth="1"/>
    <col min="11284" max="11284" width="19.140625" customWidth="1"/>
    <col min="11508" max="11508" width="4.42578125" customWidth="1"/>
    <col min="11509" max="11509" width="1.85546875" customWidth="1"/>
    <col min="11510" max="11510" width="11.42578125" hidden="1" customWidth="1"/>
    <col min="11511" max="11511" width="13.28515625" customWidth="1"/>
    <col min="11512" max="11512" width="17" customWidth="1"/>
    <col min="11513" max="11513" width="13.28515625" customWidth="1"/>
    <col min="11514" max="11514" width="6.7109375" customWidth="1"/>
    <col min="11515" max="11515" width="30.42578125" customWidth="1"/>
    <col min="11516" max="11516" width="6.7109375" customWidth="1"/>
    <col min="11517" max="11517" width="7.7109375" customWidth="1"/>
    <col min="11518" max="11528" width="11.42578125" hidden="1" customWidth="1"/>
    <col min="11529" max="11533" width="9" customWidth="1"/>
    <col min="11534" max="11534" width="11.42578125" hidden="1" customWidth="1"/>
    <col min="11540" max="11540" width="19.140625" customWidth="1"/>
    <col min="11764" max="11764" width="4.42578125" customWidth="1"/>
    <col min="11765" max="11765" width="1.85546875" customWidth="1"/>
    <col min="11766" max="11766" width="11.42578125" hidden="1" customWidth="1"/>
    <col min="11767" max="11767" width="13.28515625" customWidth="1"/>
    <col min="11768" max="11768" width="17" customWidth="1"/>
    <col min="11769" max="11769" width="13.28515625" customWidth="1"/>
    <col min="11770" max="11770" width="6.7109375" customWidth="1"/>
    <col min="11771" max="11771" width="30.42578125" customWidth="1"/>
    <col min="11772" max="11772" width="6.7109375" customWidth="1"/>
    <col min="11773" max="11773" width="7.7109375" customWidth="1"/>
    <col min="11774" max="11784" width="11.42578125" hidden="1" customWidth="1"/>
    <col min="11785" max="11789" width="9" customWidth="1"/>
    <col min="11790" max="11790" width="11.42578125" hidden="1" customWidth="1"/>
    <col min="11796" max="11796" width="19.140625" customWidth="1"/>
    <col min="12020" max="12020" width="4.42578125" customWidth="1"/>
    <col min="12021" max="12021" width="1.85546875" customWidth="1"/>
    <col min="12022" max="12022" width="11.42578125" hidden="1" customWidth="1"/>
    <col min="12023" max="12023" width="13.28515625" customWidth="1"/>
    <col min="12024" max="12024" width="17" customWidth="1"/>
    <col min="12025" max="12025" width="13.28515625" customWidth="1"/>
    <col min="12026" max="12026" width="6.7109375" customWidth="1"/>
    <col min="12027" max="12027" width="30.42578125" customWidth="1"/>
    <col min="12028" max="12028" width="6.7109375" customWidth="1"/>
    <col min="12029" max="12029" width="7.7109375" customWidth="1"/>
    <col min="12030" max="12040" width="11.42578125" hidden="1" customWidth="1"/>
    <col min="12041" max="12045" width="9" customWidth="1"/>
    <col min="12046" max="12046" width="11.42578125" hidden="1" customWidth="1"/>
    <col min="12052" max="12052" width="19.140625" customWidth="1"/>
    <col min="12276" max="12276" width="4.42578125" customWidth="1"/>
    <col min="12277" max="12277" width="1.85546875" customWidth="1"/>
    <col min="12278" max="12278" width="11.42578125" hidden="1" customWidth="1"/>
    <col min="12279" max="12279" width="13.28515625" customWidth="1"/>
    <col min="12280" max="12280" width="17" customWidth="1"/>
    <col min="12281" max="12281" width="13.28515625" customWidth="1"/>
    <col min="12282" max="12282" width="6.7109375" customWidth="1"/>
    <col min="12283" max="12283" width="30.42578125" customWidth="1"/>
    <col min="12284" max="12284" width="6.7109375" customWidth="1"/>
    <col min="12285" max="12285" width="7.7109375" customWidth="1"/>
    <col min="12286" max="12296" width="11.42578125" hidden="1" customWidth="1"/>
    <col min="12297" max="12301" width="9" customWidth="1"/>
    <col min="12302" max="12302" width="11.42578125" hidden="1" customWidth="1"/>
    <col min="12308" max="12308" width="19.140625" customWidth="1"/>
    <col min="12532" max="12532" width="4.42578125" customWidth="1"/>
    <col min="12533" max="12533" width="1.85546875" customWidth="1"/>
    <col min="12534" max="12534" width="11.42578125" hidden="1" customWidth="1"/>
    <col min="12535" max="12535" width="13.28515625" customWidth="1"/>
    <col min="12536" max="12536" width="17" customWidth="1"/>
    <col min="12537" max="12537" width="13.28515625" customWidth="1"/>
    <col min="12538" max="12538" width="6.7109375" customWidth="1"/>
    <col min="12539" max="12539" width="30.42578125" customWidth="1"/>
    <col min="12540" max="12540" width="6.7109375" customWidth="1"/>
    <col min="12541" max="12541" width="7.7109375" customWidth="1"/>
    <col min="12542" max="12552" width="11.42578125" hidden="1" customWidth="1"/>
    <col min="12553" max="12557" width="9" customWidth="1"/>
    <col min="12558" max="12558" width="11.42578125" hidden="1" customWidth="1"/>
    <col min="12564" max="12564" width="19.140625" customWidth="1"/>
    <col min="12788" max="12788" width="4.42578125" customWidth="1"/>
    <col min="12789" max="12789" width="1.85546875" customWidth="1"/>
    <col min="12790" max="12790" width="11.42578125" hidden="1" customWidth="1"/>
    <col min="12791" max="12791" width="13.28515625" customWidth="1"/>
    <col min="12792" max="12792" width="17" customWidth="1"/>
    <col min="12793" max="12793" width="13.28515625" customWidth="1"/>
    <col min="12794" max="12794" width="6.7109375" customWidth="1"/>
    <col min="12795" max="12795" width="30.42578125" customWidth="1"/>
    <col min="12796" max="12796" width="6.7109375" customWidth="1"/>
    <col min="12797" max="12797" width="7.7109375" customWidth="1"/>
    <col min="12798" max="12808" width="11.42578125" hidden="1" customWidth="1"/>
    <col min="12809" max="12813" width="9" customWidth="1"/>
    <col min="12814" max="12814" width="11.42578125" hidden="1" customWidth="1"/>
    <col min="12820" max="12820" width="19.140625" customWidth="1"/>
    <col min="13044" max="13044" width="4.42578125" customWidth="1"/>
    <col min="13045" max="13045" width="1.85546875" customWidth="1"/>
    <col min="13046" max="13046" width="11.42578125" hidden="1" customWidth="1"/>
    <col min="13047" max="13047" width="13.28515625" customWidth="1"/>
    <col min="13048" max="13048" width="17" customWidth="1"/>
    <col min="13049" max="13049" width="13.28515625" customWidth="1"/>
    <col min="13050" max="13050" width="6.7109375" customWidth="1"/>
    <col min="13051" max="13051" width="30.42578125" customWidth="1"/>
    <col min="13052" max="13052" width="6.7109375" customWidth="1"/>
    <col min="13053" max="13053" width="7.7109375" customWidth="1"/>
    <col min="13054" max="13064" width="11.42578125" hidden="1" customWidth="1"/>
    <col min="13065" max="13069" width="9" customWidth="1"/>
    <col min="13070" max="13070" width="11.42578125" hidden="1" customWidth="1"/>
    <col min="13076" max="13076" width="19.140625" customWidth="1"/>
    <col min="13300" max="13300" width="4.42578125" customWidth="1"/>
    <col min="13301" max="13301" width="1.85546875" customWidth="1"/>
    <col min="13302" max="13302" width="11.42578125" hidden="1" customWidth="1"/>
    <col min="13303" max="13303" width="13.28515625" customWidth="1"/>
    <col min="13304" max="13304" width="17" customWidth="1"/>
    <col min="13305" max="13305" width="13.28515625" customWidth="1"/>
    <col min="13306" max="13306" width="6.7109375" customWidth="1"/>
    <col min="13307" max="13307" width="30.42578125" customWidth="1"/>
    <col min="13308" max="13308" width="6.7109375" customWidth="1"/>
    <col min="13309" max="13309" width="7.7109375" customWidth="1"/>
    <col min="13310" max="13320" width="11.42578125" hidden="1" customWidth="1"/>
    <col min="13321" max="13325" width="9" customWidth="1"/>
    <col min="13326" max="13326" width="11.42578125" hidden="1" customWidth="1"/>
    <col min="13332" max="13332" width="19.140625" customWidth="1"/>
    <col min="13556" max="13556" width="4.42578125" customWidth="1"/>
    <col min="13557" max="13557" width="1.85546875" customWidth="1"/>
    <col min="13558" max="13558" width="11.42578125" hidden="1" customWidth="1"/>
    <col min="13559" max="13559" width="13.28515625" customWidth="1"/>
    <col min="13560" max="13560" width="17" customWidth="1"/>
    <col min="13561" max="13561" width="13.28515625" customWidth="1"/>
    <col min="13562" max="13562" width="6.7109375" customWidth="1"/>
    <col min="13563" max="13563" width="30.42578125" customWidth="1"/>
    <col min="13564" max="13564" width="6.7109375" customWidth="1"/>
    <col min="13565" max="13565" width="7.7109375" customWidth="1"/>
    <col min="13566" max="13576" width="11.42578125" hidden="1" customWidth="1"/>
    <col min="13577" max="13581" width="9" customWidth="1"/>
    <col min="13582" max="13582" width="11.42578125" hidden="1" customWidth="1"/>
    <col min="13588" max="13588" width="19.140625" customWidth="1"/>
    <col min="13812" max="13812" width="4.42578125" customWidth="1"/>
    <col min="13813" max="13813" width="1.85546875" customWidth="1"/>
    <col min="13814" max="13814" width="11.42578125" hidden="1" customWidth="1"/>
    <col min="13815" max="13815" width="13.28515625" customWidth="1"/>
    <col min="13816" max="13816" width="17" customWidth="1"/>
    <col min="13817" max="13817" width="13.28515625" customWidth="1"/>
    <col min="13818" max="13818" width="6.7109375" customWidth="1"/>
    <col min="13819" max="13819" width="30.42578125" customWidth="1"/>
    <col min="13820" max="13820" width="6.7109375" customWidth="1"/>
    <col min="13821" max="13821" width="7.7109375" customWidth="1"/>
    <col min="13822" max="13832" width="11.42578125" hidden="1" customWidth="1"/>
    <col min="13833" max="13837" width="9" customWidth="1"/>
    <col min="13838" max="13838" width="11.42578125" hidden="1" customWidth="1"/>
    <col min="13844" max="13844" width="19.140625" customWidth="1"/>
    <col min="14068" max="14068" width="4.42578125" customWidth="1"/>
    <col min="14069" max="14069" width="1.85546875" customWidth="1"/>
    <col min="14070" max="14070" width="11.42578125" hidden="1" customWidth="1"/>
    <col min="14071" max="14071" width="13.28515625" customWidth="1"/>
    <col min="14072" max="14072" width="17" customWidth="1"/>
    <col min="14073" max="14073" width="13.28515625" customWidth="1"/>
    <col min="14074" max="14074" width="6.7109375" customWidth="1"/>
    <col min="14075" max="14075" width="30.42578125" customWidth="1"/>
    <col min="14076" max="14076" width="6.7109375" customWidth="1"/>
    <col min="14077" max="14077" width="7.7109375" customWidth="1"/>
    <col min="14078" max="14088" width="11.42578125" hidden="1" customWidth="1"/>
    <col min="14089" max="14093" width="9" customWidth="1"/>
    <col min="14094" max="14094" width="11.42578125" hidden="1" customWidth="1"/>
    <col min="14100" max="14100" width="19.140625" customWidth="1"/>
    <col min="14324" max="14324" width="4.42578125" customWidth="1"/>
    <col min="14325" max="14325" width="1.85546875" customWidth="1"/>
    <col min="14326" max="14326" width="11.42578125" hidden="1" customWidth="1"/>
    <col min="14327" max="14327" width="13.28515625" customWidth="1"/>
    <col min="14328" max="14328" width="17" customWidth="1"/>
    <col min="14329" max="14329" width="13.28515625" customWidth="1"/>
    <col min="14330" max="14330" width="6.7109375" customWidth="1"/>
    <col min="14331" max="14331" width="30.42578125" customWidth="1"/>
    <col min="14332" max="14332" width="6.7109375" customWidth="1"/>
    <col min="14333" max="14333" width="7.7109375" customWidth="1"/>
    <col min="14334" max="14344" width="11.42578125" hidden="1" customWidth="1"/>
    <col min="14345" max="14349" width="9" customWidth="1"/>
    <col min="14350" max="14350" width="11.42578125" hidden="1" customWidth="1"/>
    <col min="14356" max="14356" width="19.140625" customWidth="1"/>
    <col min="14580" max="14580" width="4.42578125" customWidth="1"/>
    <col min="14581" max="14581" width="1.85546875" customWidth="1"/>
    <col min="14582" max="14582" width="11.42578125" hidden="1" customWidth="1"/>
    <col min="14583" max="14583" width="13.28515625" customWidth="1"/>
    <col min="14584" max="14584" width="17" customWidth="1"/>
    <col min="14585" max="14585" width="13.28515625" customWidth="1"/>
    <col min="14586" max="14586" width="6.7109375" customWidth="1"/>
    <col min="14587" max="14587" width="30.42578125" customWidth="1"/>
    <col min="14588" max="14588" width="6.7109375" customWidth="1"/>
    <col min="14589" max="14589" width="7.7109375" customWidth="1"/>
    <col min="14590" max="14600" width="11.42578125" hidden="1" customWidth="1"/>
    <col min="14601" max="14605" width="9" customWidth="1"/>
    <col min="14606" max="14606" width="11.42578125" hidden="1" customWidth="1"/>
    <col min="14612" max="14612" width="19.140625" customWidth="1"/>
    <col min="14836" max="14836" width="4.42578125" customWidth="1"/>
    <col min="14837" max="14837" width="1.85546875" customWidth="1"/>
    <col min="14838" max="14838" width="11.42578125" hidden="1" customWidth="1"/>
    <col min="14839" max="14839" width="13.28515625" customWidth="1"/>
    <col min="14840" max="14840" width="17" customWidth="1"/>
    <col min="14841" max="14841" width="13.28515625" customWidth="1"/>
    <col min="14842" max="14842" width="6.7109375" customWidth="1"/>
    <col min="14843" max="14843" width="30.42578125" customWidth="1"/>
    <col min="14844" max="14844" width="6.7109375" customWidth="1"/>
    <col min="14845" max="14845" width="7.7109375" customWidth="1"/>
    <col min="14846" max="14856" width="11.42578125" hidden="1" customWidth="1"/>
    <col min="14857" max="14861" width="9" customWidth="1"/>
    <col min="14862" max="14862" width="11.42578125" hidden="1" customWidth="1"/>
    <col min="14868" max="14868" width="19.140625" customWidth="1"/>
    <col min="15092" max="15092" width="4.42578125" customWidth="1"/>
    <col min="15093" max="15093" width="1.85546875" customWidth="1"/>
    <col min="15094" max="15094" width="11.42578125" hidden="1" customWidth="1"/>
    <col min="15095" max="15095" width="13.28515625" customWidth="1"/>
    <col min="15096" max="15096" width="17" customWidth="1"/>
    <col min="15097" max="15097" width="13.28515625" customWidth="1"/>
    <col min="15098" max="15098" width="6.7109375" customWidth="1"/>
    <col min="15099" max="15099" width="30.42578125" customWidth="1"/>
    <col min="15100" max="15100" width="6.7109375" customWidth="1"/>
    <col min="15101" max="15101" width="7.7109375" customWidth="1"/>
    <col min="15102" max="15112" width="11.42578125" hidden="1" customWidth="1"/>
    <col min="15113" max="15117" width="9" customWidth="1"/>
    <col min="15118" max="15118" width="11.42578125" hidden="1" customWidth="1"/>
    <col min="15124" max="15124" width="19.140625" customWidth="1"/>
    <col min="15348" max="15348" width="4.42578125" customWidth="1"/>
    <col min="15349" max="15349" width="1.85546875" customWidth="1"/>
    <col min="15350" max="15350" width="11.42578125" hidden="1" customWidth="1"/>
    <col min="15351" max="15351" width="13.28515625" customWidth="1"/>
    <col min="15352" max="15352" width="17" customWidth="1"/>
    <col min="15353" max="15353" width="13.28515625" customWidth="1"/>
    <col min="15354" max="15354" width="6.7109375" customWidth="1"/>
    <col min="15355" max="15355" width="30.42578125" customWidth="1"/>
    <col min="15356" max="15356" width="6.7109375" customWidth="1"/>
    <col min="15357" max="15357" width="7.7109375" customWidth="1"/>
    <col min="15358" max="15368" width="11.42578125" hidden="1" customWidth="1"/>
    <col min="15369" max="15373" width="9" customWidth="1"/>
    <col min="15374" max="15374" width="11.42578125" hidden="1" customWidth="1"/>
    <col min="15380" max="15380" width="19.140625" customWidth="1"/>
    <col min="15604" max="15604" width="4.42578125" customWidth="1"/>
    <col min="15605" max="15605" width="1.85546875" customWidth="1"/>
    <col min="15606" max="15606" width="11.42578125" hidden="1" customWidth="1"/>
    <col min="15607" max="15607" width="13.28515625" customWidth="1"/>
    <col min="15608" max="15608" width="17" customWidth="1"/>
    <col min="15609" max="15609" width="13.28515625" customWidth="1"/>
    <col min="15610" max="15610" width="6.7109375" customWidth="1"/>
    <col min="15611" max="15611" width="30.42578125" customWidth="1"/>
    <col min="15612" max="15612" width="6.7109375" customWidth="1"/>
    <col min="15613" max="15613" width="7.7109375" customWidth="1"/>
    <col min="15614" max="15624" width="11.42578125" hidden="1" customWidth="1"/>
    <col min="15625" max="15629" width="9" customWidth="1"/>
    <col min="15630" max="15630" width="11.42578125" hidden="1" customWidth="1"/>
    <col min="15636" max="15636" width="19.140625" customWidth="1"/>
    <col min="15860" max="15860" width="4.42578125" customWidth="1"/>
    <col min="15861" max="15861" width="1.85546875" customWidth="1"/>
    <col min="15862" max="15862" width="11.42578125" hidden="1" customWidth="1"/>
    <col min="15863" max="15863" width="13.28515625" customWidth="1"/>
    <col min="15864" max="15864" width="17" customWidth="1"/>
    <col min="15865" max="15865" width="13.28515625" customWidth="1"/>
    <col min="15866" max="15866" width="6.7109375" customWidth="1"/>
    <col min="15867" max="15867" width="30.42578125" customWidth="1"/>
    <col min="15868" max="15868" width="6.7109375" customWidth="1"/>
    <col min="15869" max="15869" width="7.7109375" customWidth="1"/>
    <col min="15870" max="15880" width="11.42578125" hidden="1" customWidth="1"/>
    <col min="15881" max="15885" width="9" customWidth="1"/>
    <col min="15886" max="15886" width="11.42578125" hidden="1" customWidth="1"/>
    <col min="15892" max="15892" width="19.140625" customWidth="1"/>
    <col min="16116" max="16116" width="4.42578125" customWidth="1"/>
    <col min="16117" max="16117" width="1.85546875" customWidth="1"/>
    <col min="16118" max="16118" width="11.42578125" hidden="1" customWidth="1"/>
    <col min="16119" max="16119" width="13.28515625" customWidth="1"/>
    <col min="16120" max="16120" width="17" customWidth="1"/>
    <col min="16121" max="16121" width="13.28515625" customWidth="1"/>
    <col min="16122" max="16122" width="6.7109375" customWidth="1"/>
    <col min="16123" max="16123" width="30.42578125" customWidth="1"/>
    <col min="16124" max="16124" width="6.7109375" customWidth="1"/>
    <col min="16125" max="16125" width="7.7109375" customWidth="1"/>
    <col min="16126" max="16136" width="11.42578125" hidden="1" customWidth="1"/>
    <col min="16137" max="16141" width="9" customWidth="1"/>
    <col min="16142" max="16142" width="11.42578125" hidden="1" customWidth="1"/>
    <col min="16148" max="16148" width="19.140625" customWidth="1"/>
  </cols>
  <sheetData>
    <row r="2" spans="2:14" ht="16.5">
      <c r="C2" s="3" t="s">
        <v>215</v>
      </c>
      <c r="D2" s="2"/>
      <c r="E2" s="2"/>
      <c r="F2" s="2"/>
      <c r="G2" s="2"/>
      <c r="H2" s="2"/>
      <c r="I2" s="2"/>
      <c r="J2" s="2"/>
      <c r="K2" s="2"/>
      <c r="L2" s="2"/>
      <c r="M2" s="2"/>
      <c r="N2" s="2"/>
    </row>
    <row r="3" spans="2:14" ht="16.5">
      <c r="C3" s="2"/>
      <c r="D3" s="2"/>
      <c r="E3" s="2"/>
      <c r="F3" s="2"/>
      <c r="G3" s="2"/>
      <c r="H3" s="2"/>
      <c r="I3" s="2"/>
      <c r="J3" s="2"/>
      <c r="K3" s="2"/>
      <c r="L3" s="2"/>
      <c r="M3" s="2"/>
      <c r="N3" s="2"/>
    </row>
    <row r="4" spans="2:14" ht="21">
      <c r="B4" s="4"/>
      <c r="C4" s="417" t="s">
        <v>216</v>
      </c>
      <c r="D4" s="417"/>
      <c r="E4" s="417"/>
      <c r="F4" s="417"/>
      <c r="G4" s="417"/>
      <c r="H4" s="417"/>
      <c r="I4" s="417"/>
      <c r="J4" s="417"/>
      <c r="K4" s="417"/>
      <c r="L4" s="417"/>
      <c r="M4" s="417"/>
      <c r="N4" s="417"/>
    </row>
    <row r="5" spans="2:14" ht="16.5">
      <c r="C5" s="2"/>
      <c r="D5" s="2"/>
      <c r="E5" s="2"/>
      <c r="F5" s="2"/>
      <c r="G5" s="2"/>
      <c r="H5" s="2"/>
      <c r="I5" s="2"/>
      <c r="J5" s="2"/>
      <c r="K5" s="2"/>
      <c r="L5" s="2"/>
      <c r="M5" s="2"/>
      <c r="N5" s="2"/>
    </row>
    <row r="6" spans="2:14" ht="16.5">
      <c r="C6" s="521" t="s">
        <v>2</v>
      </c>
      <c r="D6" s="522"/>
      <c r="E6" s="522"/>
      <c r="F6" s="523"/>
      <c r="G6" s="2"/>
      <c r="H6" s="2"/>
      <c r="I6" s="2"/>
      <c r="J6" s="2"/>
      <c r="K6" s="2"/>
      <c r="L6" s="2"/>
      <c r="M6" s="2"/>
      <c r="N6" s="2"/>
    </row>
    <row r="7" spans="2:14" ht="16.5">
      <c r="C7" s="521" t="s">
        <v>3</v>
      </c>
      <c r="D7" s="522"/>
      <c r="E7" s="522"/>
      <c r="F7" s="523"/>
      <c r="G7" s="2"/>
      <c r="H7" s="2"/>
      <c r="I7" s="2"/>
      <c r="J7" s="2"/>
      <c r="K7" s="2"/>
      <c r="L7" s="2"/>
      <c r="M7" s="2"/>
      <c r="N7" s="2"/>
    </row>
    <row r="8" spans="2:14" ht="16.5">
      <c r="C8" s="2"/>
      <c r="D8" s="2"/>
      <c r="E8" s="2"/>
      <c r="F8" s="2"/>
      <c r="G8" s="2"/>
      <c r="H8" s="2"/>
      <c r="I8" s="2"/>
      <c r="J8" s="2"/>
      <c r="K8" s="2"/>
      <c r="L8" s="2"/>
      <c r="M8" s="2"/>
      <c r="N8" s="2"/>
    </row>
    <row r="9" spans="2:14" ht="20.25" customHeight="1">
      <c r="B9" s="15" t="s">
        <v>217</v>
      </c>
      <c r="C9" s="541" t="s">
        <v>218</v>
      </c>
      <c r="D9" s="542"/>
      <c r="E9" s="543"/>
      <c r="F9" s="547" t="s">
        <v>189</v>
      </c>
      <c r="G9" s="549" t="s">
        <v>219</v>
      </c>
      <c r="H9" s="424" t="s">
        <v>190</v>
      </c>
      <c r="I9" s="424" t="s">
        <v>191</v>
      </c>
      <c r="J9" s="210">
        <v>2026</v>
      </c>
      <c r="K9" s="210">
        <v>2027</v>
      </c>
      <c r="L9" s="210">
        <v>2028</v>
      </c>
      <c r="M9" s="210">
        <v>2029</v>
      </c>
      <c r="N9" s="235">
        <v>2030</v>
      </c>
    </row>
    <row r="10" spans="2:14" ht="23.25" customHeight="1">
      <c r="B10" s="15"/>
      <c r="C10" s="225" t="s">
        <v>220</v>
      </c>
      <c r="D10" s="212" t="s">
        <v>11</v>
      </c>
      <c r="E10" s="212" t="s">
        <v>221</v>
      </c>
      <c r="F10" s="548"/>
      <c r="G10" s="550"/>
      <c r="H10" s="529"/>
      <c r="I10" s="529"/>
      <c r="J10" s="17" t="s">
        <v>21</v>
      </c>
      <c r="K10" s="17" t="s">
        <v>21</v>
      </c>
      <c r="L10" s="17" t="s">
        <v>21</v>
      </c>
      <c r="M10" s="17" t="s">
        <v>21</v>
      </c>
      <c r="N10" s="221" t="s">
        <v>21</v>
      </c>
    </row>
    <row r="11" spans="2:14">
      <c r="B11" s="226"/>
      <c r="C11" s="227"/>
      <c r="D11" s="227"/>
      <c r="E11" s="227"/>
      <c r="F11" s="227"/>
      <c r="G11" s="228" t="s">
        <v>222</v>
      </c>
      <c r="H11" s="227"/>
      <c r="I11" s="227"/>
      <c r="J11" s="227"/>
      <c r="K11" s="227"/>
      <c r="L11" s="227"/>
      <c r="M11" s="227"/>
      <c r="N11" s="227"/>
    </row>
    <row r="12" spans="2:14">
      <c r="B12" s="226"/>
      <c r="C12" s="175"/>
      <c r="D12" s="175"/>
      <c r="E12" s="175"/>
      <c r="F12" s="219">
        <v>10000</v>
      </c>
      <c r="G12" s="229" t="s">
        <v>223</v>
      </c>
      <c r="H12" s="175"/>
      <c r="I12" s="175"/>
      <c r="J12" s="175"/>
      <c r="K12" s="175"/>
      <c r="L12" s="175"/>
      <c r="M12" s="175"/>
      <c r="N12" s="175"/>
    </row>
    <row r="13" spans="2:14" ht="15" customHeight="1">
      <c r="B13" s="226"/>
      <c r="C13" s="175"/>
      <c r="D13" s="175"/>
      <c r="E13" s="175"/>
      <c r="F13" s="219">
        <v>20000</v>
      </c>
      <c r="G13" s="229" t="s">
        <v>224</v>
      </c>
      <c r="H13" s="175"/>
      <c r="I13" s="175"/>
      <c r="J13" s="175"/>
      <c r="K13" s="175"/>
      <c r="L13" s="175"/>
      <c r="M13" s="175"/>
      <c r="N13" s="175"/>
    </row>
    <row r="14" spans="2:14" ht="15" customHeight="1">
      <c r="B14" s="226"/>
      <c r="C14" s="175"/>
      <c r="D14" s="175"/>
      <c r="E14" s="175"/>
      <c r="F14" s="219">
        <v>30000</v>
      </c>
      <c r="G14" s="229" t="s">
        <v>225</v>
      </c>
      <c r="H14" s="175"/>
      <c r="I14" s="175"/>
      <c r="J14" s="175"/>
      <c r="K14" s="175"/>
      <c r="L14" s="175"/>
      <c r="M14" s="175"/>
      <c r="N14" s="175"/>
    </row>
    <row r="15" spans="2:14" ht="15" customHeight="1">
      <c r="B15" s="226"/>
      <c r="C15" s="175"/>
      <c r="D15" s="175"/>
      <c r="E15" s="175"/>
      <c r="F15" s="219">
        <v>40000</v>
      </c>
      <c r="G15" s="229" t="s">
        <v>226</v>
      </c>
      <c r="H15" s="175"/>
      <c r="I15" s="175"/>
      <c r="J15" s="175"/>
      <c r="K15" s="175"/>
      <c r="L15" s="175"/>
      <c r="M15" s="175"/>
      <c r="N15" s="175"/>
    </row>
    <row r="16" spans="2:14" ht="15" customHeight="1">
      <c r="B16" s="226"/>
      <c r="C16" s="175"/>
      <c r="D16" s="175"/>
      <c r="E16" s="175"/>
      <c r="F16" s="219">
        <v>50000</v>
      </c>
      <c r="G16" s="229" t="s">
        <v>227</v>
      </c>
      <c r="H16" s="175"/>
      <c r="I16" s="175"/>
      <c r="J16" s="175"/>
      <c r="K16" s="175"/>
      <c r="L16" s="175"/>
      <c r="M16" s="175"/>
      <c r="N16" s="175"/>
    </row>
    <row r="17" spans="2:14" ht="15" customHeight="1">
      <c r="B17" s="226"/>
      <c r="C17" s="175"/>
      <c r="D17" s="175"/>
      <c r="E17" s="175"/>
      <c r="F17" s="219">
        <v>60000</v>
      </c>
      <c r="G17" s="229" t="s">
        <v>228</v>
      </c>
      <c r="H17" s="175"/>
      <c r="I17" s="175"/>
      <c r="J17" s="175"/>
      <c r="K17" s="175"/>
      <c r="L17" s="175"/>
      <c r="M17" s="175"/>
      <c r="N17" s="175"/>
    </row>
    <row r="18" spans="2:14" ht="15" customHeight="1">
      <c r="B18" s="226"/>
      <c r="C18" s="175"/>
      <c r="D18" s="175"/>
      <c r="E18" s="175"/>
      <c r="F18" s="219">
        <v>70000</v>
      </c>
      <c r="G18" s="229" t="s">
        <v>229</v>
      </c>
      <c r="H18" s="175"/>
      <c r="I18" s="175"/>
      <c r="J18" s="175"/>
      <c r="K18" s="175"/>
      <c r="L18" s="175"/>
      <c r="M18" s="175"/>
      <c r="N18" s="175"/>
    </row>
    <row r="19" spans="2:14" ht="15" customHeight="1">
      <c r="B19" s="226"/>
      <c r="C19" s="175"/>
      <c r="D19" s="175"/>
      <c r="E19" s="175"/>
      <c r="F19" s="219">
        <v>80000</v>
      </c>
      <c r="G19" s="229" t="s">
        <v>230</v>
      </c>
      <c r="H19" s="175"/>
      <c r="I19" s="175"/>
      <c r="J19" s="175"/>
      <c r="K19" s="175"/>
      <c r="L19" s="175"/>
      <c r="M19" s="175"/>
      <c r="N19" s="175"/>
    </row>
    <row r="20" spans="2:14" ht="15" customHeight="1">
      <c r="B20" s="226"/>
      <c r="C20" s="175"/>
      <c r="D20" s="175"/>
      <c r="E20" s="175"/>
      <c r="F20" s="219">
        <v>90000</v>
      </c>
      <c r="G20" s="229" t="s">
        <v>231</v>
      </c>
      <c r="H20" s="175"/>
      <c r="I20" s="175"/>
      <c r="J20" s="175"/>
      <c r="K20" s="175"/>
      <c r="L20" s="175"/>
      <c r="M20" s="175"/>
      <c r="N20" s="175"/>
    </row>
    <row r="21" spans="2:14" ht="15" customHeight="1">
      <c r="B21" s="226"/>
      <c r="C21" s="227"/>
      <c r="D21" s="227"/>
      <c r="E21" s="227"/>
      <c r="F21" s="544" t="s">
        <v>232</v>
      </c>
      <c r="G21" s="545"/>
      <c r="H21" s="227"/>
      <c r="I21" s="227"/>
      <c r="J21" s="227"/>
      <c r="K21" s="227"/>
      <c r="L21" s="227"/>
      <c r="M21" s="227"/>
      <c r="N21" s="227"/>
    </row>
    <row r="22" spans="2:14" ht="15" customHeight="1">
      <c r="B22" s="226"/>
      <c r="C22" s="175"/>
      <c r="D22" s="175"/>
      <c r="E22" s="230" t="s">
        <v>233</v>
      </c>
      <c r="F22" s="551" t="s">
        <v>234</v>
      </c>
      <c r="G22" s="552"/>
      <c r="H22" s="175"/>
      <c r="I22" s="175"/>
      <c r="J22" s="175"/>
      <c r="K22" s="175"/>
      <c r="L22" s="175"/>
      <c r="M22" s="175"/>
      <c r="N22" s="175"/>
    </row>
    <row r="23" spans="2:14" ht="15" customHeight="1">
      <c r="B23" s="226"/>
      <c r="C23" s="175"/>
      <c r="D23" s="175"/>
      <c r="E23" s="230" t="s">
        <v>235</v>
      </c>
      <c r="F23" s="551" t="s">
        <v>236</v>
      </c>
      <c r="G23" s="552"/>
      <c r="H23" s="175"/>
      <c r="I23" s="175"/>
      <c r="J23" s="175"/>
      <c r="K23" s="175"/>
      <c r="L23" s="175"/>
      <c r="M23" s="175"/>
      <c r="N23" s="175"/>
    </row>
    <row r="24" spans="2:14" ht="15" customHeight="1">
      <c r="B24" s="226"/>
      <c r="C24" s="175"/>
      <c r="D24" s="175"/>
      <c r="E24" s="230" t="s">
        <v>237</v>
      </c>
      <c r="F24" s="551" t="s">
        <v>238</v>
      </c>
      <c r="G24" s="552"/>
      <c r="H24" s="175"/>
      <c r="I24" s="175"/>
      <c r="J24" s="175"/>
      <c r="K24" s="175"/>
      <c r="L24" s="175"/>
      <c r="M24" s="175"/>
      <c r="N24" s="175"/>
    </row>
    <row r="25" spans="2:14">
      <c r="B25" s="231"/>
      <c r="C25" s="553" t="s">
        <v>213</v>
      </c>
      <c r="D25" s="554"/>
      <c r="E25" s="554"/>
      <c r="F25" s="554"/>
      <c r="G25" s="554"/>
      <c r="H25" s="554"/>
      <c r="I25" s="555"/>
      <c r="J25" s="236"/>
      <c r="K25" s="236"/>
      <c r="L25" s="236"/>
      <c r="M25" s="236"/>
      <c r="N25" s="236"/>
    </row>
    <row r="26" spans="2:14">
      <c r="C26" s="176"/>
      <c r="D26" s="176"/>
      <c r="E26" s="176"/>
      <c r="F26" s="176"/>
      <c r="G26" s="176"/>
      <c r="H26" s="176"/>
      <c r="I26" s="176"/>
      <c r="J26" s="176"/>
      <c r="K26" s="176"/>
      <c r="L26" s="176"/>
      <c r="M26" s="176"/>
      <c r="N26" s="176"/>
    </row>
    <row r="27" spans="2:14">
      <c r="B27" s="24"/>
      <c r="C27" s="426" t="s">
        <v>40</v>
      </c>
      <c r="D27" s="429"/>
      <c r="E27" s="428" t="s">
        <v>41</v>
      </c>
      <c r="F27" s="427"/>
      <c r="G27" s="427"/>
      <c r="H27" s="427"/>
      <c r="I27" s="427"/>
      <c r="J27" s="427"/>
      <c r="K27" s="429"/>
      <c r="L27" s="427" t="s">
        <v>42</v>
      </c>
      <c r="M27" s="427"/>
      <c r="N27" s="430"/>
    </row>
    <row r="28" spans="2:14">
      <c r="B28" s="232"/>
      <c r="C28" s="539" t="s">
        <v>43</v>
      </c>
      <c r="D28" s="540"/>
      <c r="E28" s="217"/>
      <c r="F28" s="218"/>
      <c r="G28" s="218"/>
      <c r="H28" s="218"/>
      <c r="I28" s="218"/>
      <c r="J28" s="218"/>
      <c r="K28" s="219"/>
      <c r="L28" s="218"/>
      <c r="M28" s="218"/>
      <c r="N28" s="219"/>
    </row>
    <row r="29" spans="2:14">
      <c r="B29" s="232"/>
      <c r="C29" s="539" t="s">
        <v>44</v>
      </c>
      <c r="D29" s="540"/>
      <c r="E29" s="217"/>
      <c r="F29" s="218"/>
      <c r="G29" s="218"/>
      <c r="H29" s="218"/>
      <c r="I29" s="218"/>
      <c r="J29" s="218"/>
      <c r="K29" s="219"/>
      <c r="L29" s="218"/>
      <c r="M29" s="218"/>
      <c r="N29" s="219"/>
    </row>
    <row r="30" spans="2:14">
      <c r="B30" s="233"/>
      <c r="C30" s="539" t="s">
        <v>45</v>
      </c>
      <c r="D30" s="540"/>
      <c r="E30" s="217"/>
      <c r="F30" s="218"/>
      <c r="G30" s="218"/>
      <c r="H30" s="218"/>
      <c r="I30" s="218"/>
      <c r="J30" s="218"/>
      <c r="K30" s="219"/>
      <c r="L30" s="218"/>
      <c r="M30" s="218"/>
      <c r="N30" s="219"/>
    </row>
    <row r="31" spans="2:14">
      <c r="B31" s="233"/>
      <c r="C31" s="539" t="s">
        <v>46</v>
      </c>
      <c r="D31" s="540"/>
      <c r="E31" s="217"/>
      <c r="F31" s="218"/>
      <c r="G31" s="218"/>
      <c r="H31" s="218"/>
      <c r="I31" s="218"/>
      <c r="J31" s="218"/>
      <c r="K31" s="219"/>
      <c r="L31" s="218"/>
      <c r="M31" s="218"/>
      <c r="N31" s="219"/>
    </row>
    <row r="32" spans="2:14">
      <c r="C32" s="176"/>
      <c r="D32" s="176"/>
      <c r="E32" s="176"/>
      <c r="F32" s="176"/>
      <c r="G32" s="176"/>
      <c r="H32" s="176"/>
      <c r="I32" s="176"/>
      <c r="J32" s="176"/>
      <c r="K32" s="176"/>
      <c r="L32" s="176"/>
      <c r="M32" s="176"/>
      <c r="N32" s="223" t="s">
        <v>47</v>
      </c>
    </row>
    <row r="33" spans="3:14" ht="16.5">
      <c r="C33" s="546" t="s">
        <v>239</v>
      </c>
      <c r="D33" s="546"/>
      <c r="E33" s="546"/>
      <c r="F33" s="546"/>
      <c r="G33" s="546"/>
      <c r="H33" s="546"/>
      <c r="I33" s="546"/>
      <c r="J33" s="234"/>
      <c r="K33" s="234"/>
      <c r="L33" s="234"/>
      <c r="M33" s="234"/>
      <c r="N33" s="2"/>
    </row>
    <row r="34" spans="3:14" ht="16.5">
      <c r="C34" s="2"/>
      <c r="D34" s="2"/>
      <c r="E34" s="2"/>
      <c r="F34" s="2"/>
      <c r="G34" s="2"/>
      <c r="H34" s="2"/>
      <c r="I34" s="2"/>
      <c r="J34" s="2"/>
      <c r="K34" s="2"/>
      <c r="L34" s="2"/>
      <c r="M34" s="2"/>
      <c r="N34" s="2"/>
    </row>
    <row r="35" spans="3:14" ht="16.5">
      <c r="C35" s="2"/>
      <c r="D35" s="2"/>
      <c r="E35" s="2"/>
      <c r="F35" s="2"/>
      <c r="G35" s="2"/>
      <c r="H35" s="2"/>
      <c r="I35" s="2"/>
      <c r="J35" s="2"/>
      <c r="K35" s="2"/>
      <c r="L35" s="2"/>
      <c r="M35" s="2"/>
      <c r="N35" s="2"/>
    </row>
  </sheetData>
  <mergeCells count="21">
    <mergeCell ref="C33:I33"/>
    <mergeCell ref="F9:F10"/>
    <mergeCell ref="G9:G10"/>
    <mergeCell ref="H9:H10"/>
    <mergeCell ref="I9:I10"/>
    <mergeCell ref="F22:G22"/>
    <mergeCell ref="F23:G23"/>
    <mergeCell ref="F24:G24"/>
    <mergeCell ref="C25:I25"/>
    <mergeCell ref="L27:N27"/>
    <mergeCell ref="C28:D28"/>
    <mergeCell ref="C29:D29"/>
    <mergeCell ref="C30:D30"/>
    <mergeCell ref="C31:D31"/>
    <mergeCell ref="C27:D27"/>
    <mergeCell ref="E27:K27"/>
    <mergeCell ref="C4:N4"/>
    <mergeCell ref="C6:F6"/>
    <mergeCell ref="C7:F7"/>
    <mergeCell ref="C9:E9"/>
    <mergeCell ref="F21:G21"/>
  </mergeCells>
  <printOptions horizontalCentered="1"/>
  <pageMargins left="0.39370078740157499" right="0.47244094488188998" top="0.74803149606299202" bottom="0.74803149606299202" header="0.31496062992126" footer="0.31496062992126"/>
  <pageSetup paperSize="132" scale="81" orientation="landscape"/>
  <ignoredErrors>
    <ignoredError sqref="E22:E24"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499984740745262"/>
    <pageSetUpPr fitToPage="1"/>
  </sheetPr>
  <dimension ref="B1:WVK26"/>
  <sheetViews>
    <sheetView showGridLines="0" topLeftCell="A4" workbookViewId="0">
      <selection activeCell="F16" sqref="F16"/>
    </sheetView>
  </sheetViews>
  <sheetFormatPr baseColWidth="10" defaultColWidth="11.42578125" defaultRowHeight="15"/>
  <cols>
    <col min="1" max="1" width="4.42578125" customWidth="1"/>
    <col min="2" max="2" width="11.28515625" customWidth="1"/>
    <col min="3" max="4" width="25.42578125" customWidth="1"/>
    <col min="5" max="5" width="11.28515625" customWidth="1"/>
    <col min="6" max="11" width="25.42578125" customWidth="1"/>
    <col min="255" max="255" width="31.42578125" customWidth="1"/>
    <col min="256" max="256" width="45.28515625" customWidth="1"/>
    <col min="257" max="257" width="11.42578125" hidden="1" customWidth="1"/>
    <col min="258" max="258" width="6.7109375" customWidth="1"/>
    <col min="259" max="259" width="11.42578125" hidden="1" customWidth="1"/>
    <col min="260" max="260" width="8.5703125" customWidth="1"/>
    <col min="261" max="261" width="7.85546875" customWidth="1"/>
    <col min="262" max="262" width="8.28515625" customWidth="1"/>
    <col min="263" max="263" width="7.7109375" customWidth="1"/>
    <col min="511" max="511" width="31.42578125" customWidth="1"/>
    <col min="512" max="512" width="45.28515625" customWidth="1"/>
    <col min="513" max="513" width="11.42578125" hidden="1" customWidth="1"/>
    <col min="514" max="514" width="6.7109375" customWidth="1"/>
    <col min="515" max="515" width="11.42578125" hidden="1" customWidth="1"/>
    <col min="516" max="516" width="8.5703125" customWidth="1"/>
    <col min="517" max="517" width="7.85546875" customWidth="1"/>
    <col min="518" max="518" width="8.28515625" customWidth="1"/>
    <col min="519" max="519" width="7.7109375" customWidth="1"/>
    <col min="767" max="767" width="31.42578125" customWidth="1"/>
    <col min="768" max="768" width="45.28515625" customWidth="1"/>
    <col min="769" max="769" width="11.42578125" hidden="1" customWidth="1"/>
    <col min="770" max="770" width="6.7109375" customWidth="1"/>
    <col min="771" max="771" width="11.42578125" hidden="1" customWidth="1"/>
    <col min="772" max="772" width="8.5703125" customWidth="1"/>
    <col min="773" max="773" width="7.85546875" customWidth="1"/>
    <col min="774" max="774" width="8.28515625" customWidth="1"/>
    <col min="775" max="775" width="7.7109375" customWidth="1"/>
    <col min="1023" max="1023" width="31.42578125" customWidth="1"/>
    <col min="1024" max="1024" width="45.28515625" customWidth="1"/>
    <col min="1025" max="1025" width="11.42578125" hidden="1" customWidth="1"/>
    <col min="1026" max="1026" width="6.7109375" customWidth="1"/>
    <col min="1027" max="1027" width="11.42578125" hidden="1" customWidth="1"/>
    <col min="1028" max="1028" width="8.5703125" customWidth="1"/>
    <col min="1029" max="1029" width="7.85546875" customWidth="1"/>
    <col min="1030" max="1030" width="8.28515625" customWidth="1"/>
    <col min="1031" max="1031" width="7.7109375" customWidth="1"/>
    <col min="1279" max="1279" width="31.42578125" customWidth="1"/>
    <col min="1280" max="1280" width="45.28515625" customWidth="1"/>
    <col min="1281" max="1281" width="11.42578125" hidden="1" customWidth="1"/>
    <col min="1282" max="1282" width="6.7109375" customWidth="1"/>
    <col min="1283" max="1283" width="11.42578125" hidden="1" customWidth="1"/>
    <col min="1284" max="1284" width="8.5703125" customWidth="1"/>
    <col min="1285" max="1285" width="7.85546875" customWidth="1"/>
    <col min="1286" max="1286" width="8.28515625" customWidth="1"/>
    <col min="1287" max="1287" width="7.7109375" customWidth="1"/>
    <col min="1535" max="1535" width="31.42578125" customWidth="1"/>
    <col min="1536" max="1536" width="45.28515625" customWidth="1"/>
    <col min="1537" max="1537" width="11.42578125" hidden="1" customWidth="1"/>
    <col min="1538" max="1538" width="6.7109375" customWidth="1"/>
    <col min="1539" max="1539" width="11.42578125" hidden="1" customWidth="1"/>
    <col min="1540" max="1540" width="8.5703125" customWidth="1"/>
    <col min="1541" max="1541" width="7.85546875" customWidth="1"/>
    <col min="1542" max="1542" width="8.28515625" customWidth="1"/>
    <col min="1543" max="1543" width="7.7109375" customWidth="1"/>
    <col min="1791" max="1791" width="31.42578125" customWidth="1"/>
    <col min="1792" max="1792" width="45.28515625" customWidth="1"/>
    <col min="1793" max="1793" width="11.42578125" hidden="1" customWidth="1"/>
    <col min="1794" max="1794" width="6.7109375" customWidth="1"/>
    <col min="1795" max="1795" width="11.42578125" hidden="1" customWidth="1"/>
    <col min="1796" max="1796" width="8.5703125" customWidth="1"/>
    <col min="1797" max="1797" width="7.85546875" customWidth="1"/>
    <col min="1798" max="1798" width="8.28515625" customWidth="1"/>
    <col min="1799" max="1799" width="7.7109375" customWidth="1"/>
    <col min="2047" max="2047" width="31.42578125" customWidth="1"/>
    <col min="2048" max="2048" width="45.28515625" customWidth="1"/>
    <col min="2049" max="2049" width="11.42578125" hidden="1" customWidth="1"/>
    <col min="2050" max="2050" width="6.7109375" customWidth="1"/>
    <col min="2051" max="2051" width="11.42578125" hidden="1" customWidth="1"/>
    <col min="2052" max="2052" width="8.5703125" customWidth="1"/>
    <col min="2053" max="2053" width="7.85546875" customWidth="1"/>
    <col min="2054" max="2054" width="8.28515625" customWidth="1"/>
    <col min="2055" max="2055" width="7.7109375" customWidth="1"/>
    <col min="2303" max="2303" width="31.42578125" customWidth="1"/>
    <col min="2304" max="2304" width="45.28515625" customWidth="1"/>
    <col min="2305" max="2305" width="11.42578125" hidden="1" customWidth="1"/>
    <col min="2306" max="2306" width="6.7109375" customWidth="1"/>
    <col min="2307" max="2307" width="11.42578125" hidden="1" customWidth="1"/>
    <col min="2308" max="2308" width="8.5703125" customWidth="1"/>
    <col min="2309" max="2309" width="7.85546875" customWidth="1"/>
    <col min="2310" max="2310" width="8.28515625" customWidth="1"/>
    <col min="2311" max="2311" width="7.7109375" customWidth="1"/>
    <col min="2559" max="2559" width="31.42578125" customWidth="1"/>
    <col min="2560" max="2560" width="45.28515625" customWidth="1"/>
    <col min="2561" max="2561" width="11.42578125" hidden="1" customWidth="1"/>
    <col min="2562" max="2562" width="6.7109375" customWidth="1"/>
    <col min="2563" max="2563" width="11.42578125" hidden="1" customWidth="1"/>
    <col min="2564" max="2564" width="8.5703125" customWidth="1"/>
    <col min="2565" max="2565" width="7.85546875" customWidth="1"/>
    <col min="2566" max="2566" width="8.28515625" customWidth="1"/>
    <col min="2567" max="2567" width="7.7109375" customWidth="1"/>
    <col min="2815" max="2815" width="31.42578125" customWidth="1"/>
    <col min="2816" max="2816" width="45.28515625" customWidth="1"/>
    <col min="2817" max="2817" width="11.42578125" hidden="1" customWidth="1"/>
    <col min="2818" max="2818" width="6.7109375" customWidth="1"/>
    <col min="2819" max="2819" width="11.42578125" hidden="1" customWidth="1"/>
    <col min="2820" max="2820" width="8.5703125" customWidth="1"/>
    <col min="2821" max="2821" width="7.85546875" customWidth="1"/>
    <col min="2822" max="2822" width="8.28515625" customWidth="1"/>
    <col min="2823" max="2823" width="7.7109375" customWidth="1"/>
    <col min="3071" max="3071" width="31.42578125" customWidth="1"/>
    <col min="3072" max="3072" width="45.28515625" customWidth="1"/>
    <col min="3073" max="3073" width="11.42578125" hidden="1" customWidth="1"/>
    <col min="3074" max="3074" width="6.7109375" customWidth="1"/>
    <col min="3075" max="3075" width="11.42578125" hidden="1" customWidth="1"/>
    <col min="3076" max="3076" width="8.5703125" customWidth="1"/>
    <col min="3077" max="3077" width="7.85546875" customWidth="1"/>
    <col min="3078" max="3078" width="8.28515625" customWidth="1"/>
    <col min="3079" max="3079" width="7.7109375" customWidth="1"/>
    <col min="3327" max="3327" width="31.42578125" customWidth="1"/>
    <col min="3328" max="3328" width="45.28515625" customWidth="1"/>
    <col min="3329" max="3329" width="11.42578125" hidden="1" customWidth="1"/>
    <col min="3330" max="3330" width="6.7109375" customWidth="1"/>
    <col min="3331" max="3331" width="11.42578125" hidden="1" customWidth="1"/>
    <col min="3332" max="3332" width="8.5703125" customWidth="1"/>
    <col min="3333" max="3333" width="7.85546875" customWidth="1"/>
    <col min="3334" max="3334" width="8.28515625" customWidth="1"/>
    <col min="3335" max="3335" width="7.7109375" customWidth="1"/>
    <col min="3583" max="3583" width="31.42578125" customWidth="1"/>
    <col min="3584" max="3584" width="45.28515625" customWidth="1"/>
    <col min="3585" max="3585" width="11.42578125" hidden="1" customWidth="1"/>
    <col min="3586" max="3586" width="6.7109375" customWidth="1"/>
    <col min="3587" max="3587" width="11.42578125" hidden="1" customWidth="1"/>
    <col min="3588" max="3588" width="8.5703125" customWidth="1"/>
    <col min="3589" max="3589" width="7.85546875" customWidth="1"/>
    <col min="3590" max="3590" width="8.28515625" customWidth="1"/>
    <col min="3591" max="3591" width="7.7109375" customWidth="1"/>
    <col min="3839" max="3839" width="31.42578125" customWidth="1"/>
    <col min="3840" max="3840" width="45.28515625" customWidth="1"/>
    <col min="3841" max="3841" width="11.42578125" hidden="1" customWidth="1"/>
    <col min="3842" max="3842" width="6.7109375" customWidth="1"/>
    <col min="3843" max="3843" width="11.42578125" hidden="1" customWidth="1"/>
    <col min="3844" max="3844" width="8.5703125" customWidth="1"/>
    <col min="3845" max="3845" width="7.85546875" customWidth="1"/>
    <col min="3846" max="3846" width="8.28515625" customWidth="1"/>
    <col min="3847" max="3847" width="7.7109375" customWidth="1"/>
    <col min="4095" max="4095" width="31.42578125" customWidth="1"/>
    <col min="4096" max="4096" width="45.28515625" customWidth="1"/>
    <col min="4097" max="4097" width="11.42578125" hidden="1" customWidth="1"/>
    <col min="4098" max="4098" width="6.7109375" customWidth="1"/>
    <col min="4099" max="4099" width="11.42578125" hidden="1" customWidth="1"/>
    <col min="4100" max="4100" width="8.5703125" customWidth="1"/>
    <col min="4101" max="4101" width="7.85546875" customWidth="1"/>
    <col min="4102" max="4102" width="8.28515625" customWidth="1"/>
    <col min="4103" max="4103" width="7.7109375" customWidth="1"/>
    <col min="4351" max="4351" width="31.42578125" customWidth="1"/>
    <col min="4352" max="4352" width="45.28515625" customWidth="1"/>
    <col min="4353" max="4353" width="11.42578125" hidden="1" customWidth="1"/>
    <col min="4354" max="4354" width="6.7109375" customWidth="1"/>
    <col min="4355" max="4355" width="11.42578125" hidden="1" customWidth="1"/>
    <col min="4356" max="4356" width="8.5703125" customWidth="1"/>
    <col min="4357" max="4357" width="7.85546875" customWidth="1"/>
    <col min="4358" max="4358" width="8.28515625" customWidth="1"/>
    <col min="4359" max="4359" width="7.7109375" customWidth="1"/>
    <col min="4607" max="4607" width="31.42578125" customWidth="1"/>
    <col min="4608" max="4608" width="45.28515625" customWidth="1"/>
    <col min="4609" max="4609" width="11.42578125" hidden="1" customWidth="1"/>
    <col min="4610" max="4610" width="6.7109375" customWidth="1"/>
    <col min="4611" max="4611" width="11.42578125" hidden="1" customWidth="1"/>
    <col min="4612" max="4612" width="8.5703125" customWidth="1"/>
    <col min="4613" max="4613" width="7.85546875" customWidth="1"/>
    <col min="4614" max="4614" width="8.28515625" customWidth="1"/>
    <col min="4615" max="4615" width="7.7109375" customWidth="1"/>
    <col min="4863" max="4863" width="31.42578125" customWidth="1"/>
    <col min="4864" max="4864" width="45.28515625" customWidth="1"/>
    <col min="4865" max="4865" width="11.42578125" hidden="1" customWidth="1"/>
    <col min="4866" max="4866" width="6.7109375" customWidth="1"/>
    <col min="4867" max="4867" width="11.42578125" hidden="1" customWidth="1"/>
    <col min="4868" max="4868" width="8.5703125" customWidth="1"/>
    <col min="4869" max="4869" width="7.85546875" customWidth="1"/>
    <col min="4870" max="4870" width="8.28515625" customWidth="1"/>
    <col min="4871" max="4871" width="7.7109375" customWidth="1"/>
    <col min="5119" max="5119" width="31.42578125" customWidth="1"/>
    <col min="5120" max="5120" width="45.28515625" customWidth="1"/>
    <col min="5121" max="5121" width="11.42578125" hidden="1" customWidth="1"/>
    <col min="5122" max="5122" width="6.7109375" customWidth="1"/>
    <col min="5123" max="5123" width="11.42578125" hidden="1" customWidth="1"/>
    <col min="5124" max="5124" width="8.5703125" customWidth="1"/>
    <col min="5125" max="5125" width="7.85546875" customWidth="1"/>
    <col min="5126" max="5126" width="8.28515625" customWidth="1"/>
    <col min="5127" max="5127" width="7.7109375" customWidth="1"/>
    <col min="5375" max="5375" width="31.42578125" customWidth="1"/>
    <col min="5376" max="5376" width="45.28515625" customWidth="1"/>
    <col min="5377" max="5377" width="11.42578125" hidden="1" customWidth="1"/>
    <col min="5378" max="5378" width="6.7109375" customWidth="1"/>
    <col min="5379" max="5379" width="11.42578125" hidden="1" customWidth="1"/>
    <col min="5380" max="5380" width="8.5703125" customWidth="1"/>
    <col min="5381" max="5381" width="7.85546875" customWidth="1"/>
    <col min="5382" max="5382" width="8.28515625" customWidth="1"/>
    <col min="5383" max="5383" width="7.7109375" customWidth="1"/>
    <col min="5631" max="5631" width="31.42578125" customWidth="1"/>
    <col min="5632" max="5632" width="45.28515625" customWidth="1"/>
    <col min="5633" max="5633" width="11.42578125" hidden="1" customWidth="1"/>
    <col min="5634" max="5634" width="6.7109375" customWidth="1"/>
    <col min="5635" max="5635" width="11.42578125" hidden="1" customWidth="1"/>
    <col min="5636" max="5636" width="8.5703125" customWidth="1"/>
    <col min="5637" max="5637" width="7.85546875" customWidth="1"/>
    <col min="5638" max="5638" width="8.28515625" customWidth="1"/>
    <col min="5639" max="5639" width="7.7109375" customWidth="1"/>
    <col min="5887" max="5887" width="31.42578125" customWidth="1"/>
    <col min="5888" max="5888" width="45.28515625" customWidth="1"/>
    <col min="5889" max="5889" width="11.42578125" hidden="1" customWidth="1"/>
    <col min="5890" max="5890" width="6.7109375" customWidth="1"/>
    <col min="5891" max="5891" width="11.42578125" hidden="1" customWidth="1"/>
    <col min="5892" max="5892" width="8.5703125" customWidth="1"/>
    <col min="5893" max="5893" width="7.85546875" customWidth="1"/>
    <col min="5894" max="5894" width="8.28515625" customWidth="1"/>
    <col min="5895" max="5895" width="7.7109375" customWidth="1"/>
    <col min="6143" max="6143" width="31.42578125" customWidth="1"/>
    <col min="6144" max="6144" width="45.28515625" customWidth="1"/>
    <col min="6145" max="6145" width="11.42578125" hidden="1" customWidth="1"/>
    <col min="6146" max="6146" width="6.7109375" customWidth="1"/>
    <col min="6147" max="6147" width="11.42578125" hidden="1" customWidth="1"/>
    <col min="6148" max="6148" width="8.5703125" customWidth="1"/>
    <col min="6149" max="6149" width="7.85546875" customWidth="1"/>
    <col min="6150" max="6150" width="8.28515625" customWidth="1"/>
    <col min="6151" max="6151" width="7.7109375" customWidth="1"/>
    <col min="6399" max="6399" width="31.42578125" customWidth="1"/>
    <col min="6400" max="6400" width="45.28515625" customWidth="1"/>
    <col min="6401" max="6401" width="11.42578125" hidden="1" customWidth="1"/>
    <col min="6402" max="6402" width="6.7109375" customWidth="1"/>
    <col min="6403" max="6403" width="11.42578125" hidden="1" customWidth="1"/>
    <col min="6404" max="6404" width="8.5703125" customWidth="1"/>
    <col min="6405" max="6405" width="7.85546875" customWidth="1"/>
    <col min="6406" max="6406" width="8.28515625" customWidth="1"/>
    <col min="6407" max="6407" width="7.7109375" customWidth="1"/>
    <col min="6655" max="6655" width="31.42578125" customWidth="1"/>
    <col min="6656" max="6656" width="45.28515625" customWidth="1"/>
    <col min="6657" max="6657" width="11.42578125" hidden="1" customWidth="1"/>
    <col min="6658" max="6658" width="6.7109375" customWidth="1"/>
    <col min="6659" max="6659" width="11.42578125" hidden="1" customWidth="1"/>
    <col min="6660" max="6660" width="8.5703125" customWidth="1"/>
    <col min="6661" max="6661" width="7.85546875" customWidth="1"/>
    <col min="6662" max="6662" width="8.28515625" customWidth="1"/>
    <col min="6663" max="6663" width="7.7109375" customWidth="1"/>
    <col min="6911" max="6911" width="31.42578125" customWidth="1"/>
    <col min="6912" max="6912" width="45.28515625" customWidth="1"/>
    <col min="6913" max="6913" width="11.42578125" hidden="1" customWidth="1"/>
    <col min="6914" max="6914" width="6.7109375" customWidth="1"/>
    <col min="6915" max="6915" width="11.42578125" hidden="1" customWidth="1"/>
    <col min="6916" max="6916" width="8.5703125" customWidth="1"/>
    <col min="6917" max="6917" width="7.85546875" customWidth="1"/>
    <col min="6918" max="6918" width="8.28515625" customWidth="1"/>
    <col min="6919" max="6919" width="7.7109375" customWidth="1"/>
    <col min="7167" max="7167" width="31.42578125" customWidth="1"/>
    <col min="7168" max="7168" width="45.28515625" customWidth="1"/>
    <col min="7169" max="7169" width="11.42578125" hidden="1" customWidth="1"/>
    <col min="7170" max="7170" width="6.7109375" customWidth="1"/>
    <col min="7171" max="7171" width="11.42578125" hidden="1" customWidth="1"/>
    <col min="7172" max="7172" width="8.5703125" customWidth="1"/>
    <col min="7173" max="7173" width="7.85546875" customWidth="1"/>
    <col min="7174" max="7174" width="8.28515625" customWidth="1"/>
    <col min="7175" max="7175" width="7.7109375" customWidth="1"/>
    <col min="7423" max="7423" width="31.42578125" customWidth="1"/>
    <col min="7424" max="7424" width="45.28515625" customWidth="1"/>
    <col min="7425" max="7425" width="11.42578125" hidden="1" customWidth="1"/>
    <col min="7426" max="7426" width="6.7109375" customWidth="1"/>
    <col min="7427" max="7427" width="11.42578125" hidden="1" customWidth="1"/>
    <col min="7428" max="7428" width="8.5703125" customWidth="1"/>
    <col min="7429" max="7429" width="7.85546875" customWidth="1"/>
    <col min="7430" max="7430" width="8.28515625" customWidth="1"/>
    <col min="7431" max="7431" width="7.7109375" customWidth="1"/>
    <col min="7679" max="7679" width="31.42578125" customWidth="1"/>
    <col min="7680" max="7680" width="45.28515625" customWidth="1"/>
    <col min="7681" max="7681" width="11.42578125" hidden="1" customWidth="1"/>
    <col min="7682" max="7682" width="6.7109375" customWidth="1"/>
    <col min="7683" max="7683" width="11.42578125" hidden="1" customWidth="1"/>
    <col min="7684" max="7684" width="8.5703125" customWidth="1"/>
    <col min="7685" max="7685" width="7.85546875" customWidth="1"/>
    <col min="7686" max="7686" width="8.28515625" customWidth="1"/>
    <col min="7687" max="7687" width="7.7109375" customWidth="1"/>
    <col min="7935" max="7935" width="31.42578125" customWidth="1"/>
    <col min="7936" max="7936" width="45.28515625" customWidth="1"/>
    <col min="7937" max="7937" width="11.42578125" hidden="1" customWidth="1"/>
    <col min="7938" max="7938" width="6.7109375" customWidth="1"/>
    <col min="7939" max="7939" width="11.42578125" hidden="1" customWidth="1"/>
    <col min="7940" max="7940" width="8.5703125" customWidth="1"/>
    <col min="7941" max="7941" width="7.85546875" customWidth="1"/>
    <col min="7942" max="7942" width="8.28515625" customWidth="1"/>
    <col min="7943" max="7943" width="7.7109375" customWidth="1"/>
    <col min="8191" max="8191" width="31.42578125" customWidth="1"/>
    <col min="8192" max="8192" width="45.28515625" customWidth="1"/>
    <col min="8193" max="8193" width="11.42578125" hidden="1" customWidth="1"/>
    <col min="8194" max="8194" width="6.7109375" customWidth="1"/>
    <col min="8195" max="8195" width="11.42578125" hidden="1" customWidth="1"/>
    <col min="8196" max="8196" width="8.5703125" customWidth="1"/>
    <col min="8197" max="8197" width="7.85546875" customWidth="1"/>
    <col min="8198" max="8198" width="8.28515625" customWidth="1"/>
    <col min="8199" max="8199" width="7.7109375" customWidth="1"/>
    <col min="8447" max="8447" width="31.42578125" customWidth="1"/>
    <col min="8448" max="8448" width="45.28515625" customWidth="1"/>
    <col min="8449" max="8449" width="11.42578125" hidden="1" customWidth="1"/>
    <col min="8450" max="8450" width="6.7109375" customWidth="1"/>
    <col min="8451" max="8451" width="11.42578125" hidden="1" customWidth="1"/>
    <col min="8452" max="8452" width="8.5703125" customWidth="1"/>
    <col min="8453" max="8453" width="7.85546875" customWidth="1"/>
    <col min="8454" max="8454" width="8.28515625" customWidth="1"/>
    <col min="8455" max="8455" width="7.7109375" customWidth="1"/>
    <col min="8703" max="8703" width="31.42578125" customWidth="1"/>
    <col min="8704" max="8704" width="45.28515625" customWidth="1"/>
    <col min="8705" max="8705" width="11.42578125" hidden="1" customWidth="1"/>
    <col min="8706" max="8706" width="6.7109375" customWidth="1"/>
    <col min="8707" max="8707" width="11.42578125" hidden="1" customWidth="1"/>
    <col min="8708" max="8708" width="8.5703125" customWidth="1"/>
    <col min="8709" max="8709" width="7.85546875" customWidth="1"/>
    <col min="8710" max="8710" width="8.28515625" customWidth="1"/>
    <col min="8711" max="8711" width="7.7109375" customWidth="1"/>
    <col min="8959" max="8959" width="31.42578125" customWidth="1"/>
    <col min="8960" max="8960" width="45.28515625" customWidth="1"/>
    <col min="8961" max="8961" width="11.42578125" hidden="1" customWidth="1"/>
    <col min="8962" max="8962" width="6.7109375" customWidth="1"/>
    <col min="8963" max="8963" width="11.42578125" hidden="1" customWidth="1"/>
    <col min="8964" max="8964" width="8.5703125" customWidth="1"/>
    <col min="8965" max="8965" width="7.85546875" customWidth="1"/>
    <col min="8966" max="8966" width="8.28515625" customWidth="1"/>
    <col min="8967" max="8967" width="7.7109375" customWidth="1"/>
    <col min="9215" max="9215" width="31.42578125" customWidth="1"/>
    <col min="9216" max="9216" width="45.28515625" customWidth="1"/>
    <col min="9217" max="9217" width="11.42578125" hidden="1" customWidth="1"/>
    <col min="9218" max="9218" width="6.7109375" customWidth="1"/>
    <col min="9219" max="9219" width="11.42578125" hidden="1" customWidth="1"/>
    <col min="9220" max="9220" width="8.5703125" customWidth="1"/>
    <col min="9221" max="9221" width="7.85546875" customWidth="1"/>
    <col min="9222" max="9222" width="8.28515625" customWidth="1"/>
    <col min="9223" max="9223" width="7.7109375" customWidth="1"/>
    <col min="9471" max="9471" width="31.42578125" customWidth="1"/>
    <col min="9472" max="9472" width="45.28515625" customWidth="1"/>
    <col min="9473" max="9473" width="11.42578125" hidden="1" customWidth="1"/>
    <col min="9474" max="9474" width="6.7109375" customWidth="1"/>
    <col min="9475" max="9475" width="11.42578125" hidden="1" customWidth="1"/>
    <col min="9476" max="9476" width="8.5703125" customWidth="1"/>
    <col min="9477" max="9477" width="7.85546875" customWidth="1"/>
    <col min="9478" max="9478" width="8.28515625" customWidth="1"/>
    <col min="9479" max="9479" width="7.7109375" customWidth="1"/>
    <col min="9727" max="9727" width="31.42578125" customWidth="1"/>
    <col min="9728" max="9728" width="45.28515625" customWidth="1"/>
    <col min="9729" max="9729" width="11.42578125" hidden="1" customWidth="1"/>
    <col min="9730" max="9730" width="6.7109375" customWidth="1"/>
    <col min="9731" max="9731" width="11.42578125" hidden="1" customWidth="1"/>
    <col min="9732" max="9732" width="8.5703125" customWidth="1"/>
    <col min="9733" max="9733" width="7.85546875" customWidth="1"/>
    <col min="9734" max="9734" width="8.28515625" customWidth="1"/>
    <col min="9735" max="9735" width="7.7109375" customWidth="1"/>
    <col min="9983" max="9983" width="31.42578125" customWidth="1"/>
    <col min="9984" max="9984" width="45.28515625" customWidth="1"/>
    <col min="9985" max="9985" width="11.42578125" hidden="1" customWidth="1"/>
    <col min="9986" max="9986" width="6.7109375" customWidth="1"/>
    <col min="9987" max="9987" width="11.42578125" hidden="1" customWidth="1"/>
    <col min="9988" max="9988" width="8.5703125" customWidth="1"/>
    <col min="9989" max="9989" width="7.85546875" customWidth="1"/>
    <col min="9990" max="9990" width="8.28515625" customWidth="1"/>
    <col min="9991" max="9991" width="7.7109375" customWidth="1"/>
    <col min="10239" max="10239" width="31.42578125" customWidth="1"/>
    <col min="10240" max="10240" width="45.28515625" customWidth="1"/>
    <col min="10241" max="10241" width="11.42578125" hidden="1" customWidth="1"/>
    <col min="10242" max="10242" width="6.7109375" customWidth="1"/>
    <col min="10243" max="10243" width="11.42578125" hidden="1" customWidth="1"/>
    <col min="10244" max="10244" width="8.5703125" customWidth="1"/>
    <col min="10245" max="10245" width="7.85546875" customWidth="1"/>
    <col min="10246" max="10246" width="8.28515625" customWidth="1"/>
    <col min="10247" max="10247" width="7.7109375" customWidth="1"/>
    <col min="10495" max="10495" width="31.42578125" customWidth="1"/>
    <col min="10496" max="10496" width="45.28515625" customWidth="1"/>
    <col min="10497" max="10497" width="11.42578125" hidden="1" customWidth="1"/>
    <col min="10498" max="10498" width="6.7109375" customWidth="1"/>
    <col min="10499" max="10499" width="11.42578125" hidden="1" customWidth="1"/>
    <col min="10500" max="10500" width="8.5703125" customWidth="1"/>
    <col min="10501" max="10501" width="7.85546875" customWidth="1"/>
    <col min="10502" max="10502" width="8.28515625" customWidth="1"/>
    <col min="10503" max="10503" width="7.7109375" customWidth="1"/>
    <col min="10751" max="10751" width="31.42578125" customWidth="1"/>
    <col min="10752" max="10752" width="45.28515625" customWidth="1"/>
    <col min="10753" max="10753" width="11.42578125" hidden="1" customWidth="1"/>
    <col min="10754" max="10754" width="6.7109375" customWidth="1"/>
    <col min="10755" max="10755" width="11.42578125" hidden="1" customWidth="1"/>
    <col min="10756" max="10756" width="8.5703125" customWidth="1"/>
    <col min="10757" max="10757" width="7.85546875" customWidth="1"/>
    <col min="10758" max="10758" width="8.28515625" customWidth="1"/>
    <col min="10759" max="10759" width="7.7109375" customWidth="1"/>
    <col min="11007" max="11007" width="31.42578125" customWidth="1"/>
    <col min="11008" max="11008" width="45.28515625" customWidth="1"/>
    <col min="11009" max="11009" width="11.42578125" hidden="1" customWidth="1"/>
    <col min="11010" max="11010" width="6.7109375" customWidth="1"/>
    <col min="11011" max="11011" width="11.42578125" hidden="1" customWidth="1"/>
    <col min="11012" max="11012" width="8.5703125" customWidth="1"/>
    <col min="11013" max="11013" width="7.85546875" customWidth="1"/>
    <col min="11014" max="11014" width="8.28515625" customWidth="1"/>
    <col min="11015" max="11015" width="7.7109375" customWidth="1"/>
    <col min="11263" max="11263" width="31.42578125" customWidth="1"/>
    <col min="11264" max="11264" width="45.28515625" customWidth="1"/>
    <col min="11265" max="11265" width="11.42578125" hidden="1" customWidth="1"/>
    <col min="11266" max="11266" width="6.7109375" customWidth="1"/>
    <col min="11267" max="11267" width="11.42578125" hidden="1" customWidth="1"/>
    <col min="11268" max="11268" width="8.5703125" customWidth="1"/>
    <col min="11269" max="11269" width="7.85546875" customWidth="1"/>
    <col min="11270" max="11270" width="8.28515625" customWidth="1"/>
    <col min="11271" max="11271" width="7.7109375" customWidth="1"/>
    <col min="11519" max="11519" width="31.42578125" customWidth="1"/>
    <col min="11520" max="11520" width="45.28515625" customWidth="1"/>
    <col min="11521" max="11521" width="11.42578125" hidden="1" customWidth="1"/>
    <col min="11522" max="11522" width="6.7109375" customWidth="1"/>
    <col min="11523" max="11523" width="11.42578125" hidden="1" customWidth="1"/>
    <col min="11524" max="11524" width="8.5703125" customWidth="1"/>
    <col min="11525" max="11525" width="7.85546875" customWidth="1"/>
    <col min="11526" max="11526" width="8.28515625" customWidth="1"/>
    <col min="11527" max="11527" width="7.7109375" customWidth="1"/>
    <col min="11775" max="11775" width="31.42578125" customWidth="1"/>
    <col min="11776" max="11776" width="45.28515625" customWidth="1"/>
    <col min="11777" max="11777" width="11.42578125" hidden="1" customWidth="1"/>
    <col min="11778" max="11778" width="6.7109375" customWidth="1"/>
    <col min="11779" max="11779" width="11.42578125" hidden="1" customWidth="1"/>
    <col min="11780" max="11780" width="8.5703125" customWidth="1"/>
    <col min="11781" max="11781" width="7.85546875" customWidth="1"/>
    <col min="11782" max="11782" width="8.28515625" customWidth="1"/>
    <col min="11783" max="11783" width="7.7109375" customWidth="1"/>
    <col min="12031" max="12031" width="31.42578125" customWidth="1"/>
    <col min="12032" max="12032" width="45.28515625" customWidth="1"/>
    <col min="12033" max="12033" width="11.42578125" hidden="1" customWidth="1"/>
    <col min="12034" max="12034" width="6.7109375" customWidth="1"/>
    <col min="12035" max="12035" width="11.42578125" hidden="1" customWidth="1"/>
    <col min="12036" max="12036" width="8.5703125" customWidth="1"/>
    <col min="12037" max="12037" width="7.85546875" customWidth="1"/>
    <col min="12038" max="12038" width="8.28515625" customWidth="1"/>
    <col min="12039" max="12039" width="7.7109375" customWidth="1"/>
    <col min="12287" max="12287" width="31.42578125" customWidth="1"/>
    <col min="12288" max="12288" width="45.28515625" customWidth="1"/>
    <col min="12289" max="12289" width="11.42578125" hidden="1" customWidth="1"/>
    <col min="12290" max="12290" width="6.7109375" customWidth="1"/>
    <col min="12291" max="12291" width="11.42578125" hidden="1" customWidth="1"/>
    <col min="12292" max="12292" width="8.5703125" customWidth="1"/>
    <col min="12293" max="12293" width="7.85546875" customWidth="1"/>
    <col min="12294" max="12294" width="8.28515625" customWidth="1"/>
    <col min="12295" max="12295" width="7.7109375" customWidth="1"/>
    <col min="12543" max="12543" width="31.42578125" customWidth="1"/>
    <col min="12544" max="12544" width="45.28515625" customWidth="1"/>
    <col min="12545" max="12545" width="11.42578125" hidden="1" customWidth="1"/>
    <col min="12546" max="12546" width="6.7109375" customWidth="1"/>
    <col min="12547" max="12547" width="11.42578125" hidden="1" customWidth="1"/>
    <col min="12548" max="12548" width="8.5703125" customWidth="1"/>
    <col min="12549" max="12549" width="7.85546875" customWidth="1"/>
    <col min="12550" max="12550" width="8.28515625" customWidth="1"/>
    <col min="12551" max="12551" width="7.7109375" customWidth="1"/>
    <col min="12799" max="12799" width="31.42578125" customWidth="1"/>
    <col min="12800" max="12800" width="45.28515625" customWidth="1"/>
    <col min="12801" max="12801" width="11.42578125" hidden="1" customWidth="1"/>
    <col min="12802" max="12802" width="6.7109375" customWidth="1"/>
    <col min="12803" max="12803" width="11.42578125" hidden="1" customWidth="1"/>
    <col min="12804" max="12804" width="8.5703125" customWidth="1"/>
    <col min="12805" max="12805" width="7.85546875" customWidth="1"/>
    <col min="12806" max="12806" width="8.28515625" customWidth="1"/>
    <col min="12807" max="12807" width="7.7109375" customWidth="1"/>
    <col min="13055" max="13055" width="31.42578125" customWidth="1"/>
    <col min="13056" max="13056" width="45.28515625" customWidth="1"/>
    <col min="13057" max="13057" width="11.42578125" hidden="1" customWidth="1"/>
    <col min="13058" max="13058" width="6.7109375" customWidth="1"/>
    <col min="13059" max="13059" width="11.42578125" hidden="1" customWidth="1"/>
    <col min="13060" max="13060" width="8.5703125" customWidth="1"/>
    <col min="13061" max="13061" width="7.85546875" customWidth="1"/>
    <col min="13062" max="13062" width="8.28515625" customWidth="1"/>
    <col min="13063" max="13063" width="7.7109375" customWidth="1"/>
    <col min="13311" max="13311" width="31.42578125" customWidth="1"/>
    <col min="13312" max="13312" width="45.28515625" customWidth="1"/>
    <col min="13313" max="13313" width="11.42578125" hidden="1" customWidth="1"/>
    <col min="13314" max="13314" width="6.7109375" customWidth="1"/>
    <col min="13315" max="13315" width="11.42578125" hidden="1" customWidth="1"/>
    <col min="13316" max="13316" width="8.5703125" customWidth="1"/>
    <col min="13317" max="13317" width="7.85546875" customWidth="1"/>
    <col min="13318" max="13318" width="8.28515625" customWidth="1"/>
    <col min="13319" max="13319" width="7.7109375" customWidth="1"/>
    <col min="13567" max="13567" width="31.42578125" customWidth="1"/>
    <col min="13568" max="13568" width="45.28515625" customWidth="1"/>
    <col min="13569" max="13569" width="11.42578125" hidden="1" customWidth="1"/>
    <col min="13570" max="13570" width="6.7109375" customWidth="1"/>
    <col min="13571" max="13571" width="11.42578125" hidden="1" customWidth="1"/>
    <col min="13572" max="13572" width="8.5703125" customWidth="1"/>
    <col min="13573" max="13573" width="7.85546875" customWidth="1"/>
    <col min="13574" max="13574" width="8.28515625" customWidth="1"/>
    <col min="13575" max="13575" width="7.7109375" customWidth="1"/>
    <col min="13823" max="13823" width="31.42578125" customWidth="1"/>
    <col min="13824" max="13824" width="45.28515625" customWidth="1"/>
    <col min="13825" max="13825" width="11.42578125" hidden="1" customWidth="1"/>
    <col min="13826" max="13826" width="6.7109375" customWidth="1"/>
    <col min="13827" max="13827" width="11.42578125" hidden="1" customWidth="1"/>
    <col min="13828" max="13828" width="8.5703125" customWidth="1"/>
    <col min="13829" max="13829" width="7.85546875" customWidth="1"/>
    <col min="13830" max="13830" width="8.28515625" customWidth="1"/>
    <col min="13831" max="13831" width="7.7109375" customWidth="1"/>
    <col min="14079" max="14079" width="31.42578125" customWidth="1"/>
    <col min="14080" max="14080" width="45.28515625" customWidth="1"/>
    <col min="14081" max="14081" width="11.42578125" hidden="1" customWidth="1"/>
    <col min="14082" max="14082" width="6.7109375" customWidth="1"/>
    <col min="14083" max="14083" width="11.42578125" hidden="1" customWidth="1"/>
    <col min="14084" max="14084" width="8.5703125" customWidth="1"/>
    <col min="14085" max="14085" width="7.85546875" customWidth="1"/>
    <col min="14086" max="14086" width="8.28515625" customWidth="1"/>
    <col min="14087" max="14087" width="7.7109375" customWidth="1"/>
    <col min="14335" max="14335" width="31.42578125" customWidth="1"/>
    <col min="14336" max="14336" width="45.28515625" customWidth="1"/>
    <col min="14337" max="14337" width="11.42578125" hidden="1" customWidth="1"/>
    <col min="14338" max="14338" width="6.7109375" customWidth="1"/>
    <col min="14339" max="14339" width="11.42578125" hidden="1" customWidth="1"/>
    <col min="14340" max="14340" width="8.5703125" customWidth="1"/>
    <col min="14341" max="14341" width="7.85546875" customWidth="1"/>
    <col min="14342" max="14342" width="8.28515625" customWidth="1"/>
    <col min="14343" max="14343" width="7.7109375" customWidth="1"/>
    <col min="14591" max="14591" width="31.42578125" customWidth="1"/>
    <col min="14592" max="14592" width="45.28515625" customWidth="1"/>
    <col min="14593" max="14593" width="11.42578125" hidden="1" customWidth="1"/>
    <col min="14594" max="14594" width="6.7109375" customWidth="1"/>
    <col min="14595" max="14595" width="11.42578125" hidden="1" customWidth="1"/>
    <col min="14596" max="14596" width="8.5703125" customWidth="1"/>
    <col min="14597" max="14597" width="7.85546875" customWidth="1"/>
    <col min="14598" max="14598" width="8.28515625" customWidth="1"/>
    <col min="14599" max="14599" width="7.7109375" customWidth="1"/>
    <col min="14847" max="14847" width="31.42578125" customWidth="1"/>
    <col min="14848" max="14848" width="45.28515625" customWidth="1"/>
    <col min="14849" max="14849" width="11.42578125" hidden="1" customWidth="1"/>
    <col min="14850" max="14850" width="6.7109375" customWidth="1"/>
    <col min="14851" max="14851" width="11.42578125" hidden="1" customWidth="1"/>
    <col min="14852" max="14852" width="8.5703125" customWidth="1"/>
    <col min="14853" max="14853" width="7.85546875" customWidth="1"/>
    <col min="14854" max="14854" width="8.28515625" customWidth="1"/>
    <col min="14855" max="14855" width="7.7109375" customWidth="1"/>
    <col min="15103" max="15103" width="31.42578125" customWidth="1"/>
    <col min="15104" max="15104" width="45.28515625" customWidth="1"/>
    <col min="15105" max="15105" width="11.42578125" hidden="1" customWidth="1"/>
    <col min="15106" max="15106" width="6.7109375" customWidth="1"/>
    <col min="15107" max="15107" width="11.42578125" hidden="1" customWidth="1"/>
    <col min="15108" max="15108" width="8.5703125" customWidth="1"/>
    <col min="15109" max="15109" width="7.85546875" customWidth="1"/>
    <col min="15110" max="15110" width="8.28515625" customWidth="1"/>
    <col min="15111" max="15111" width="7.7109375" customWidth="1"/>
    <col min="15359" max="15359" width="31.42578125" customWidth="1"/>
    <col min="15360" max="15360" width="45.28515625" customWidth="1"/>
    <col min="15361" max="15361" width="11.42578125" hidden="1" customWidth="1"/>
    <col min="15362" max="15362" width="6.7109375" customWidth="1"/>
    <col min="15363" max="15363" width="11.42578125" hidden="1" customWidth="1"/>
    <col min="15364" max="15364" width="8.5703125" customWidth="1"/>
    <col min="15365" max="15365" width="7.85546875" customWidth="1"/>
    <col min="15366" max="15366" width="8.28515625" customWidth="1"/>
    <col min="15367" max="15367" width="7.7109375" customWidth="1"/>
    <col min="15615" max="15615" width="31.42578125" customWidth="1"/>
    <col min="15616" max="15616" width="45.28515625" customWidth="1"/>
    <col min="15617" max="15617" width="11.42578125" hidden="1" customWidth="1"/>
    <col min="15618" max="15618" width="6.7109375" customWidth="1"/>
    <col min="15619" max="15619" width="11.42578125" hidden="1" customWidth="1"/>
    <col min="15620" max="15620" width="8.5703125" customWidth="1"/>
    <col min="15621" max="15621" width="7.85546875" customWidth="1"/>
    <col min="15622" max="15622" width="8.28515625" customWidth="1"/>
    <col min="15623" max="15623" width="7.7109375" customWidth="1"/>
    <col min="15871" max="15871" width="31.42578125" customWidth="1"/>
    <col min="15872" max="15872" width="45.28515625" customWidth="1"/>
    <col min="15873" max="15873" width="11.42578125" hidden="1" customWidth="1"/>
    <col min="15874" max="15874" width="6.7109375" customWidth="1"/>
    <col min="15875" max="15875" width="11.42578125" hidden="1" customWidth="1"/>
    <col min="15876" max="15876" width="8.5703125" customWidth="1"/>
    <col min="15877" max="15877" width="7.85546875" customWidth="1"/>
    <col min="15878" max="15878" width="8.28515625" customWidth="1"/>
    <col min="15879" max="15879" width="7.7109375" customWidth="1"/>
    <col min="16127" max="16127" width="31.42578125" customWidth="1"/>
    <col min="16128" max="16128" width="45.28515625" customWidth="1"/>
    <col min="16129" max="16129" width="11.42578125" hidden="1" customWidth="1"/>
    <col min="16130" max="16130" width="6.7109375" customWidth="1"/>
    <col min="16131" max="16131" width="11.42578125" hidden="1" customWidth="1"/>
    <col min="16132" max="16132" width="8.5703125" customWidth="1"/>
    <col min="16133" max="16133" width="7.85546875" customWidth="1"/>
    <col min="16134" max="16134" width="8.28515625" customWidth="1"/>
    <col min="16135" max="16135" width="7.7109375" customWidth="1"/>
  </cols>
  <sheetData>
    <row r="1" spans="2:11" ht="7.5" customHeight="1"/>
    <row r="2" spans="2:11" ht="16.5">
      <c r="B2" s="3" t="s">
        <v>240</v>
      </c>
      <c r="C2" s="2"/>
      <c r="D2" s="2"/>
      <c r="E2" s="2"/>
      <c r="F2" s="2"/>
      <c r="G2" s="2"/>
      <c r="H2" s="2"/>
      <c r="I2" s="2"/>
      <c r="J2" s="2"/>
      <c r="K2" s="2"/>
    </row>
    <row r="3" spans="2:11" ht="16.5">
      <c r="B3" s="2"/>
      <c r="C3" s="2"/>
      <c r="D3" s="2"/>
      <c r="E3" s="2"/>
      <c r="F3" s="2"/>
      <c r="G3" s="2"/>
      <c r="H3" s="2"/>
      <c r="I3" s="2"/>
      <c r="J3" s="2"/>
      <c r="K3" s="2"/>
    </row>
    <row r="4" spans="2:11" ht="46.5" customHeight="1">
      <c r="B4" s="556" t="s">
        <v>241</v>
      </c>
      <c r="C4" s="556"/>
      <c r="D4" s="556"/>
      <c r="E4" s="556"/>
      <c r="F4" s="556"/>
      <c r="G4" s="556"/>
      <c r="H4" s="556"/>
      <c r="I4" s="556"/>
      <c r="J4" s="556"/>
      <c r="K4" s="556"/>
    </row>
    <row r="5" spans="2:11" ht="16.5">
      <c r="B5" s="2"/>
      <c r="C5" s="2"/>
      <c r="D5" s="2"/>
      <c r="E5" s="2"/>
      <c r="F5" s="2"/>
      <c r="G5" s="2"/>
      <c r="H5" s="2"/>
      <c r="I5" s="2"/>
      <c r="J5" s="2"/>
      <c r="K5" s="2"/>
    </row>
    <row r="6" spans="2:11" ht="16.5">
      <c r="B6" s="521" t="s">
        <v>2</v>
      </c>
      <c r="C6" s="522"/>
      <c r="D6" s="523"/>
      <c r="E6" s="2"/>
      <c r="F6" s="201"/>
      <c r="G6" s="201"/>
      <c r="H6" s="201"/>
      <c r="I6" s="201"/>
      <c r="J6" s="201"/>
      <c r="K6" s="2"/>
    </row>
    <row r="7" spans="2:11" ht="16.5">
      <c r="B7" s="521" t="s">
        <v>3</v>
      </c>
      <c r="C7" s="522"/>
      <c r="D7" s="523"/>
      <c r="E7" s="2"/>
      <c r="F7" s="201"/>
      <c r="G7" s="201"/>
      <c r="H7" s="201"/>
      <c r="I7" s="201"/>
      <c r="J7" s="201"/>
      <c r="K7" s="2"/>
    </row>
    <row r="8" spans="2:11" ht="16.5">
      <c r="B8" s="2"/>
      <c r="C8" s="2"/>
      <c r="D8" s="2"/>
      <c r="E8" s="2"/>
      <c r="F8" s="2"/>
      <c r="G8" s="2"/>
      <c r="H8" s="2"/>
      <c r="I8" s="2"/>
      <c r="J8" s="2"/>
      <c r="K8" s="2"/>
    </row>
    <row r="9" spans="2:11" s="1" customFormat="1" ht="42.75" customHeight="1">
      <c r="B9" s="418" t="s">
        <v>51</v>
      </c>
      <c r="C9" s="419"/>
      <c r="D9" s="420"/>
      <c r="E9" s="424" t="s">
        <v>242</v>
      </c>
      <c r="F9" s="424"/>
      <c r="G9" s="421" t="s">
        <v>243</v>
      </c>
      <c r="H9" s="422"/>
      <c r="I9" s="422"/>
      <c r="J9" s="422"/>
      <c r="K9" s="425"/>
    </row>
    <row r="10" spans="2:11" ht="18" customHeight="1">
      <c r="B10" s="557"/>
      <c r="C10" s="558"/>
      <c r="D10" s="559"/>
      <c r="E10" s="529"/>
      <c r="F10" s="529"/>
      <c r="G10" s="211">
        <v>2026</v>
      </c>
      <c r="H10" s="211">
        <v>2027</v>
      </c>
      <c r="I10" s="211">
        <v>2028</v>
      </c>
      <c r="J10" s="211">
        <v>2029</v>
      </c>
      <c r="K10" s="220">
        <v>2030</v>
      </c>
    </row>
    <row r="11" spans="2:11">
      <c r="B11" s="16" t="s">
        <v>220</v>
      </c>
      <c r="C11" s="18" t="s">
        <v>11</v>
      </c>
      <c r="D11" s="19" t="s">
        <v>12</v>
      </c>
      <c r="E11" s="212" t="s">
        <v>220</v>
      </c>
      <c r="F11" s="212" t="s">
        <v>11</v>
      </c>
      <c r="G11" s="203" t="s">
        <v>21</v>
      </c>
      <c r="H11" s="203" t="s">
        <v>21</v>
      </c>
      <c r="I11" s="203" t="s">
        <v>21</v>
      </c>
      <c r="J11" s="203" t="s">
        <v>21</v>
      </c>
      <c r="K11" s="221" t="s">
        <v>21</v>
      </c>
    </row>
    <row r="12" spans="2:11">
      <c r="B12" s="175"/>
      <c r="C12" s="175"/>
      <c r="D12" s="175"/>
      <c r="E12" s="175"/>
      <c r="F12" s="213"/>
      <c r="G12" s="214"/>
      <c r="H12" s="214"/>
      <c r="I12" s="214"/>
      <c r="J12" s="214"/>
      <c r="K12" s="222"/>
    </row>
    <row r="13" spans="2:11">
      <c r="B13" s="175"/>
      <c r="C13" s="175"/>
      <c r="D13" s="175"/>
      <c r="E13" s="175"/>
      <c r="F13" s="213"/>
      <c r="G13" s="215"/>
      <c r="H13" s="215"/>
      <c r="I13" s="215"/>
      <c r="J13" s="215"/>
      <c r="K13" s="131"/>
    </row>
    <row r="14" spans="2:11">
      <c r="B14" s="175"/>
      <c r="C14" s="175"/>
      <c r="D14" s="175"/>
      <c r="E14" s="175"/>
      <c r="F14" s="213"/>
      <c r="G14" s="215"/>
      <c r="H14" s="215"/>
      <c r="I14" s="215"/>
      <c r="J14" s="215"/>
      <c r="K14" s="131"/>
    </row>
    <row r="15" spans="2:11">
      <c r="B15" s="175"/>
      <c r="C15" s="175"/>
      <c r="D15" s="175"/>
      <c r="E15" s="175"/>
      <c r="F15" s="213"/>
      <c r="G15" s="215"/>
      <c r="H15" s="215"/>
      <c r="I15" s="215"/>
      <c r="J15" s="215"/>
      <c r="K15" s="175"/>
    </row>
    <row r="16" spans="2:11">
      <c r="B16" s="175"/>
      <c r="C16" s="175"/>
      <c r="D16" s="175"/>
      <c r="E16" s="175"/>
      <c r="F16" s="213"/>
      <c r="G16" s="215"/>
      <c r="H16" s="215"/>
      <c r="I16" s="215"/>
      <c r="J16" s="215"/>
      <c r="K16" s="175"/>
    </row>
    <row r="17" spans="2:16">
      <c r="B17" s="553" t="s">
        <v>213</v>
      </c>
      <c r="C17" s="554"/>
      <c r="D17" s="554"/>
      <c r="E17" s="554"/>
      <c r="F17" s="555"/>
      <c r="G17" s="216"/>
      <c r="H17" s="216"/>
      <c r="I17" s="216"/>
      <c r="J17" s="216"/>
      <c r="K17" s="94"/>
    </row>
    <row r="18" spans="2:16">
      <c r="B18" s="176"/>
      <c r="C18" s="176"/>
      <c r="D18" s="176"/>
      <c r="E18" s="176"/>
      <c r="F18" s="176"/>
      <c r="G18" s="176"/>
      <c r="H18" s="176"/>
      <c r="I18" s="176"/>
      <c r="J18" s="176"/>
      <c r="K18" s="176"/>
    </row>
    <row r="19" spans="2:16">
      <c r="B19" s="426" t="s">
        <v>40</v>
      </c>
      <c r="C19" s="429"/>
      <c r="D19" s="428" t="s">
        <v>41</v>
      </c>
      <c r="E19" s="427"/>
      <c r="F19" s="427"/>
      <c r="G19" s="427"/>
      <c r="H19" s="429"/>
      <c r="I19" s="427" t="s">
        <v>42</v>
      </c>
      <c r="J19" s="427"/>
      <c r="K19" s="430"/>
      <c r="L19" s="560"/>
      <c r="M19" s="560"/>
      <c r="N19" s="560"/>
      <c r="O19" s="560"/>
      <c r="P19" s="560"/>
    </row>
    <row r="20" spans="2:16">
      <c r="B20" s="539" t="s">
        <v>43</v>
      </c>
      <c r="C20" s="540"/>
      <c r="D20" s="433"/>
      <c r="E20" s="434"/>
      <c r="F20" s="434"/>
      <c r="G20" s="434"/>
      <c r="H20" s="435"/>
      <c r="I20" s="434"/>
      <c r="J20" s="434"/>
      <c r="K20" s="435"/>
      <c r="L20" s="561"/>
      <c r="M20" s="561"/>
      <c r="N20" s="561"/>
      <c r="O20" s="561"/>
      <c r="P20" s="561"/>
    </row>
    <row r="21" spans="2:16">
      <c r="B21" s="539" t="s">
        <v>44</v>
      </c>
      <c r="C21" s="540"/>
      <c r="D21" s="433"/>
      <c r="E21" s="434"/>
      <c r="F21" s="434"/>
      <c r="G21" s="434"/>
      <c r="H21" s="435"/>
      <c r="I21" s="434"/>
      <c r="J21" s="434"/>
      <c r="K21" s="435"/>
      <c r="L21" s="561"/>
      <c r="M21" s="561"/>
      <c r="N21" s="561"/>
      <c r="O21" s="561"/>
      <c r="P21" s="561"/>
    </row>
    <row r="22" spans="2:16">
      <c r="B22" s="539" t="s">
        <v>45</v>
      </c>
      <c r="C22" s="540"/>
      <c r="D22" s="433"/>
      <c r="E22" s="434"/>
      <c r="F22" s="434"/>
      <c r="G22" s="434"/>
      <c r="H22" s="435"/>
      <c r="I22" s="434"/>
      <c r="J22" s="434"/>
      <c r="K22" s="435"/>
      <c r="L22" s="561"/>
      <c r="M22" s="561"/>
      <c r="N22" s="561"/>
      <c r="O22" s="561"/>
      <c r="P22" s="561"/>
    </row>
    <row r="23" spans="2:16">
      <c r="B23" s="539" t="s">
        <v>46</v>
      </c>
      <c r="C23" s="540"/>
      <c r="D23" s="433"/>
      <c r="E23" s="434"/>
      <c r="F23" s="434"/>
      <c r="G23" s="434"/>
      <c r="H23" s="435"/>
      <c r="I23" s="434"/>
      <c r="J23" s="434"/>
      <c r="K23" s="435"/>
      <c r="L23" s="561"/>
      <c r="M23" s="561"/>
      <c r="N23" s="561"/>
      <c r="O23" s="561"/>
      <c r="P23" s="561"/>
    </row>
    <row r="24" spans="2:16">
      <c r="B24" s="176"/>
      <c r="C24" s="176"/>
      <c r="D24" s="176"/>
      <c r="E24" s="176"/>
      <c r="F24" s="176"/>
      <c r="G24" s="176"/>
      <c r="H24" s="176"/>
      <c r="I24" s="176"/>
      <c r="J24" s="176"/>
      <c r="K24" s="223" t="s">
        <v>47</v>
      </c>
      <c r="L24" s="224"/>
      <c r="M24" s="189"/>
      <c r="N24" s="189"/>
      <c r="O24" s="189"/>
      <c r="P24" s="189"/>
    </row>
    <row r="25" spans="2:16" s="209" customFormat="1">
      <c r="B25" s="416" t="s">
        <v>239</v>
      </c>
      <c r="C25" s="416"/>
      <c r="D25" s="416"/>
      <c r="E25" s="416"/>
      <c r="F25" s="416"/>
      <c r="G25" s="416"/>
      <c r="H25" s="416"/>
      <c r="I25" s="416"/>
      <c r="J25" s="416"/>
      <c r="K25" s="416"/>
      <c r="L25" s="188"/>
      <c r="M25" s="188"/>
      <c r="N25" s="188"/>
      <c r="O25" s="188"/>
      <c r="P25" s="188"/>
    </row>
    <row r="26" spans="2:16">
      <c r="L26" s="189"/>
      <c r="M26" s="189"/>
      <c r="N26" s="189"/>
      <c r="O26" s="189"/>
      <c r="P26" s="189"/>
    </row>
  </sheetData>
  <mergeCells count="28">
    <mergeCell ref="B23:C23"/>
    <mergeCell ref="D23:H23"/>
    <mergeCell ref="I23:K23"/>
    <mergeCell ref="L23:P23"/>
    <mergeCell ref="B25:K25"/>
    <mergeCell ref="B21:C21"/>
    <mergeCell ref="D21:H21"/>
    <mergeCell ref="I21:K21"/>
    <mergeCell ref="L21:P21"/>
    <mergeCell ref="B22:C22"/>
    <mergeCell ref="D22:H22"/>
    <mergeCell ref="I22:K22"/>
    <mergeCell ref="L22:P22"/>
    <mergeCell ref="B19:C19"/>
    <mergeCell ref="D19:H19"/>
    <mergeCell ref="I19:K19"/>
    <mergeCell ref="L19:P19"/>
    <mergeCell ref="B20:C20"/>
    <mergeCell ref="D20:H20"/>
    <mergeCell ref="I20:K20"/>
    <mergeCell ref="L20:P20"/>
    <mergeCell ref="B4:K4"/>
    <mergeCell ref="B6:D6"/>
    <mergeCell ref="B7:D7"/>
    <mergeCell ref="G9:K9"/>
    <mergeCell ref="B17:F17"/>
    <mergeCell ref="B9:D10"/>
    <mergeCell ref="E9:F10"/>
  </mergeCells>
  <printOptions horizontalCentered="1"/>
  <pageMargins left="0.39370078740157499" right="0.52" top="0.74803149606299202" bottom="0.74803149606299202" header="0.31496062992126" footer="0.31496062992126"/>
  <pageSetup paperSize="132" scale="87"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sheetPr>
  <dimension ref="B2:N28"/>
  <sheetViews>
    <sheetView showGridLines="0" workbookViewId="0"/>
  </sheetViews>
  <sheetFormatPr baseColWidth="10" defaultColWidth="11.42578125" defaultRowHeight="15"/>
  <cols>
    <col min="1" max="1" width="4.7109375" customWidth="1"/>
    <col min="2" max="2" width="16.140625" customWidth="1"/>
    <col min="3" max="3" width="22.85546875" customWidth="1"/>
    <col min="4" max="7" width="17" customWidth="1"/>
    <col min="8" max="14" width="17.42578125" customWidth="1"/>
  </cols>
  <sheetData>
    <row r="2" spans="2:14" ht="16.5">
      <c r="B2" s="562" t="s">
        <v>244</v>
      </c>
      <c r="C2" s="562"/>
      <c r="D2" s="562"/>
      <c r="E2" s="562"/>
      <c r="F2" s="562"/>
      <c r="G2" s="562"/>
      <c r="H2" s="562"/>
      <c r="I2" s="562"/>
      <c r="J2" s="562"/>
      <c r="K2" s="2"/>
      <c r="L2" s="2"/>
      <c r="M2" s="2"/>
      <c r="N2" s="2"/>
    </row>
    <row r="3" spans="2:14" ht="20.25">
      <c r="B3" s="417" t="s">
        <v>245</v>
      </c>
      <c r="C3" s="417"/>
      <c r="D3" s="417"/>
      <c r="E3" s="417"/>
      <c r="F3" s="417"/>
      <c r="G3" s="417"/>
      <c r="H3" s="417"/>
      <c r="I3" s="417"/>
      <c r="J3" s="417"/>
      <c r="K3" s="417"/>
      <c r="L3" s="417"/>
      <c r="M3" s="417"/>
      <c r="N3" s="417"/>
    </row>
    <row r="4" spans="2:14" ht="16.5">
      <c r="B4" s="2"/>
      <c r="C4" s="2"/>
      <c r="D4" s="2"/>
      <c r="E4" s="2"/>
      <c r="F4" s="2"/>
      <c r="G4" s="2"/>
      <c r="H4" s="2"/>
      <c r="I4" s="2"/>
      <c r="J4" s="2"/>
      <c r="K4" s="2"/>
      <c r="L4" s="2"/>
      <c r="M4" s="2"/>
      <c r="N4" s="2"/>
    </row>
    <row r="5" spans="2:14" ht="16.5">
      <c r="B5" s="125" t="s">
        <v>2</v>
      </c>
      <c r="C5" s="126"/>
      <c r="D5" s="127"/>
      <c r="E5" s="2"/>
      <c r="F5" s="2"/>
      <c r="G5" s="563"/>
      <c r="H5" s="563"/>
      <c r="I5" s="563"/>
      <c r="J5" s="563"/>
      <c r="K5" s="2"/>
      <c r="L5" s="2"/>
      <c r="M5" s="2"/>
      <c r="N5" s="2"/>
    </row>
    <row r="6" spans="2:14" ht="16.5">
      <c r="B6" s="125" t="s">
        <v>3</v>
      </c>
      <c r="C6" s="126"/>
      <c r="D6" s="127"/>
      <c r="E6" s="2"/>
      <c r="F6" s="2"/>
      <c r="G6" s="2"/>
      <c r="H6" s="2"/>
      <c r="I6" s="2"/>
      <c r="J6" s="2"/>
      <c r="K6" s="563"/>
      <c r="L6" s="563"/>
      <c r="M6" s="563"/>
      <c r="N6" s="563"/>
    </row>
    <row r="7" spans="2:14" ht="16.5">
      <c r="B7" s="2"/>
      <c r="C7" s="2"/>
      <c r="D7" s="2"/>
      <c r="E7" s="2"/>
      <c r="F7" s="2"/>
      <c r="G7" s="2"/>
      <c r="H7" s="2"/>
      <c r="I7" s="2"/>
      <c r="J7" s="2"/>
      <c r="K7" s="2"/>
      <c r="L7" s="2"/>
      <c r="M7" s="2"/>
      <c r="N7" s="2"/>
    </row>
    <row r="8" spans="2:14" ht="18.75" customHeight="1">
      <c r="B8" s="567" t="s">
        <v>246</v>
      </c>
      <c r="C8" s="568" t="s">
        <v>247</v>
      </c>
      <c r="D8" s="564" t="s">
        <v>248</v>
      </c>
      <c r="E8" s="565"/>
      <c r="F8" s="566"/>
      <c r="G8" s="566"/>
      <c r="H8" s="568" t="s">
        <v>249</v>
      </c>
      <c r="I8" s="569" t="s">
        <v>190</v>
      </c>
      <c r="J8" s="568" t="s">
        <v>250</v>
      </c>
      <c r="K8" s="570" t="s">
        <v>251</v>
      </c>
      <c r="L8" s="568" t="s">
        <v>252</v>
      </c>
      <c r="M8" s="568" t="s">
        <v>253</v>
      </c>
      <c r="N8" s="572" t="s">
        <v>254</v>
      </c>
    </row>
    <row r="9" spans="2:14" ht="38.25" customHeight="1">
      <c r="B9" s="567"/>
      <c r="C9" s="568"/>
      <c r="D9" s="202" t="s">
        <v>255</v>
      </c>
      <c r="E9" s="203" t="s">
        <v>256</v>
      </c>
      <c r="F9" s="203" t="s">
        <v>257</v>
      </c>
      <c r="G9" s="203" t="s">
        <v>258</v>
      </c>
      <c r="H9" s="568"/>
      <c r="I9" s="569"/>
      <c r="J9" s="568"/>
      <c r="K9" s="571"/>
      <c r="L9" s="568"/>
      <c r="M9" s="568"/>
      <c r="N9" s="572"/>
    </row>
    <row r="10" spans="2:14" s="122" customFormat="1">
      <c r="B10" s="130"/>
      <c r="C10" s="130"/>
      <c r="D10" s="131"/>
      <c r="E10" s="131"/>
      <c r="F10" s="131"/>
      <c r="G10" s="132"/>
      <c r="H10" s="131"/>
      <c r="I10" s="131"/>
      <c r="J10" s="131"/>
      <c r="K10" s="130"/>
      <c r="L10" s="131"/>
      <c r="M10" s="131"/>
      <c r="N10" s="137"/>
    </row>
    <row r="11" spans="2:14" s="122" customFormat="1">
      <c r="B11" s="130"/>
      <c r="C11" s="130"/>
      <c r="D11" s="131"/>
      <c r="E11" s="131"/>
      <c r="F11" s="131"/>
      <c r="G11" s="132"/>
      <c r="H11" s="131"/>
      <c r="I11" s="131"/>
      <c r="J11" s="131"/>
      <c r="K11" s="131"/>
      <c r="L11" s="131"/>
      <c r="M11" s="131"/>
      <c r="N11" s="137"/>
    </row>
    <row r="12" spans="2:14">
      <c r="B12" s="175"/>
      <c r="C12" s="175"/>
      <c r="D12" s="175"/>
      <c r="E12" s="175"/>
      <c r="F12" s="175"/>
      <c r="G12" s="175"/>
      <c r="H12" s="175"/>
      <c r="I12" s="175"/>
      <c r="J12" s="175"/>
      <c r="K12" s="175"/>
      <c r="L12" s="175"/>
      <c r="M12" s="175"/>
      <c r="N12" s="205"/>
    </row>
    <row r="13" spans="2:14">
      <c r="B13" s="175"/>
      <c r="C13" s="175"/>
      <c r="D13" s="175"/>
      <c r="E13" s="175"/>
      <c r="F13" s="175"/>
      <c r="G13" s="175"/>
      <c r="H13" s="175"/>
      <c r="I13" s="175"/>
      <c r="J13" s="175"/>
      <c r="K13" s="175"/>
      <c r="L13" s="175"/>
      <c r="M13" s="175"/>
      <c r="N13" s="205"/>
    </row>
    <row r="14" spans="2:14">
      <c r="B14" s="175"/>
      <c r="C14" s="175"/>
      <c r="D14" s="175"/>
      <c r="E14" s="175"/>
      <c r="F14" s="175"/>
      <c r="G14" s="175"/>
      <c r="H14" s="175"/>
      <c r="I14" s="175"/>
      <c r="J14" s="175"/>
      <c r="K14" s="175"/>
      <c r="L14" s="175"/>
      <c r="M14" s="175"/>
      <c r="N14" s="205"/>
    </row>
    <row r="15" spans="2:14">
      <c r="B15" s="175"/>
      <c r="C15" s="175"/>
      <c r="D15" s="175"/>
      <c r="E15" s="175"/>
      <c r="F15" s="175"/>
      <c r="G15" s="175"/>
      <c r="H15" s="175"/>
      <c r="I15" s="175"/>
      <c r="J15" s="175"/>
      <c r="K15" s="175"/>
      <c r="L15" s="175"/>
      <c r="M15" s="175"/>
      <c r="N15" s="205"/>
    </row>
    <row r="16" spans="2:14">
      <c r="B16" s="175"/>
      <c r="C16" s="175"/>
      <c r="D16" s="175"/>
      <c r="E16" s="175"/>
      <c r="F16" s="175"/>
      <c r="G16" s="175"/>
      <c r="H16" s="175"/>
      <c r="I16" s="175"/>
      <c r="J16" s="175"/>
      <c r="K16" s="175"/>
      <c r="L16" s="175"/>
      <c r="M16" s="175"/>
      <c r="N16" s="205"/>
    </row>
    <row r="17" spans="2:14">
      <c r="B17" s="175"/>
      <c r="C17" s="175"/>
      <c r="D17" s="175"/>
      <c r="E17" s="175"/>
      <c r="F17" s="175"/>
      <c r="G17" s="175"/>
      <c r="H17" s="175"/>
      <c r="I17" s="175"/>
      <c r="J17" s="175"/>
      <c r="K17" s="175"/>
      <c r="L17" s="175"/>
      <c r="M17" s="175"/>
      <c r="N17" s="205"/>
    </row>
    <row r="18" spans="2:14">
      <c r="B18" s="175"/>
      <c r="C18" s="175"/>
      <c r="D18" s="175"/>
      <c r="E18" s="175"/>
      <c r="F18" s="175"/>
      <c r="G18" s="175"/>
      <c r="H18" s="175"/>
      <c r="I18" s="175"/>
      <c r="J18" s="175"/>
      <c r="K18" s="175"/>
      <c r="L18" s="175"/>
      <c r="M18" s="175"/>
      <c r="N18" s="205"/>
    </row>
    <row r="19" spans="2:14">
      <c r="B19" s="175"/>
      <c r="C19" s="175"/>
      <c r="D19" s="175"/>
      <c r="E19" s="175"/>
      <c r="F19" s="175"/>
      <c r="G19" s="175"/>
      <c r="H19" s="175"/>
      <c r="I19" s="175"/>
      <c r="J19" s="175"/>
      <c r="K19" s="175"/>
      <c r="L19" s="175"/>
      <c r="M19" s="175"/>
      <c r="N19" s="205"/>
    </row>
    <row r="20" spans="2:14">
      <c r="B20" s="426" t="s">
        <v>259</v>
      </c>
      <c r="C20" s="427"/>
      <c r="D20" s="427"/>
      <c r="E20" s="427"/>
      <c r="F20" s="427"/>
      <c r="G20" s="427"/>
      <c r="H20" s="427"/>
      <c r="I20" s="427"/>
      <c r="J20" s="427"/>
      <c r="K20" s="429"/>
      <c r="L20" s="206"/>
      <c r="M20" s="207"/>
      <c r="N20" s="208"/>
    </row>
    <row r="21" spans="2:14">
      <c r="B21" s="176"/>
      <c r="C21" s="176"/>
      <c r="D21" s="176"/>
      <c r="E21" s="176"/>
      <c r="F21" s="176"/>
      <c r="G21" s="176"/>
      <c r="H21" s="176"/>
      <c r="I21" s="176"/>
      <c r="J21" s="176"/>
      <c r="K21" s="176"/>
      <c r="L21" s="176"/>
      <c r="M21" s="176"/>
      <c r="N21" s="176"/>
    </row>
    <row r="22" spans="2:14">
      <c r="B22" s="426" t="s">
        <v>260</v>
      </c>
      <c r="C22" s="427"/>
      <c r="D22" s="428" t="s">
        <v>41</v>
      </c>
      <c r="E22" s="427"/>
      <c r="F22" s="427"/>
      <c r="G22" s="427"/>
      <c r="H22" s="427"/>
      <c r="I22" s="429"/>
      <c r="J22" s="428" t="s">
        <v>42</v>
      </c>
      <c r="K22" s="430"/>
      <c r="L22" s="176"/>
      <c r="M22" s="176"/>
      <c r="N22" s="176"/>
    </row>
    <row r="23" spans="2:14">
      <c r="B23" s="573" t="s">
        <v>43</v>
      </c>
      <c r="C23" s="574"/>
      <c r="D23" s="575"/>
      <c r="E23" s="576"/>
      <c r="F23" s="576"/>
      <c r="G23" s="576"/>
      <c r="H23" s="576"/>
      <c r="I23" s="577"/>
      <c r="J23" s="578"/>
      <c r="K23" s="579"/>
      <c r="L23" s="176"/>
      <c r="M23" s="176"/>
      <c r="N23" s="176"/>
    </row>
    <row r="24" spans="2:14">
      <c r="B24" s="573" t="s">
        <v>45</v>
      </c>
      <c r="C24" s="574"/>
      <c r="D24" s="575"/>
      <c r="E24" s="576"/>
      <c r="F24" s="576"/>
      <c r="G24" s="576"/>
      <c r="H24" s="576"/>
      <c r="I24" s="577"/>
      <c r="J24" s="578"/>
      <c r="K24" s="579"/>
      <c r="L24" s="176"/>
      <c r="M24" s="176"/>
      <c r="N24" s="176"/>
    </row>
    <row r="25" spans="2:14">
      <c r="B25" s="573" t="s">
        <v>46</v>
      </c>
      <c r="C25" s="574"/>
      <c r="D25" s="575"/>
      <c r="E25" s="576"/>
      <c r="F25" s="576"/>
      <c r="G25" s="576"/>
      <c r="H25" s="576"/>
      <c r="I25" s="577"/>
      <c r="J25" s="578"/>
      <c r="K25" s="579"/>
      <c r="L25" s="176"/>
      <c r="M25" s="176"/>
      <c r="N25" s="176"/>
    </row>
    <row r="26" spans="2:14">
      <c r="B26" s="187"/>
      <c r="C26" s="187"/>
      <c r="D26" s="187"/>
      <c r="E26" s="187"/>
      <c r="F26" s="187"/>
      <c r="G26" s="187"/>
      <c r="H26" s="187"/>
      <c r="I26" s="187"/>
      <c r="J26" s="181" t="s">
        <v>261</v>
      </c>
      <c r="K26" s="176"/>
      <c r="L26" s="176"/>
      <c r="M26" s="176"/>
      <c r="N26" s="176"/>
    </row>
    <row r="27" spans="2:14" ht="16.5">
      <c r="B27" s="134" t="s">
        <v>262</v>
      </c>
      <c r="C27" s="204"/>
      <c r="D27" s="204"/>
      <c r="E27" s="204"/>
      <c r="F27" s="204"/>
      <c r="G27" s="204"/>
      <c r="H27" s="204"/>
      <c r="I27" s="204"/>
      <c r="J27" s="191"/>
      <c r="K27" s="191"/>
      <c r="L27" s="191"/>
      <c r="M27" s="191"/>
      <c r="N27" s="2"/>
    </row>
    <row r="28" spans="2:14" ht="15.75">
      <c r="B28" s="134" t="s">
        <v>263</v>
      </c>
    </row>
  </sheetData>
  <mergeCells count="27">
    <mergeCell ref="B24:C24"/>
    <mergeCell ref="D24:I24"/>
    <mergeCell ref="J24:K24"/>
    <mergeCell ref="B25:C25"/>
    <mergeCell ref="D25:I25"/>
    <mergeCell ref="J25:K25"/>
    <mergeCell ref="B20:K20"/>
    <mergeCell ref="B22:C22"/>
    <mergeCell ref="D22:I22"/>
    <mergeCell ref="J22:K22"/>
    <mergeCell ref="B23:C23"/>
    <mergeCell ref="D23:I23"/>
    <mergeCell ref="J23:K23"/>
    <mergeCell ref="B2:J2"/>
    <mergeCell ref="B3:N3"/>
    <mergeCell ref="G5:J5"/>
    <mergeCell ref="K6:N6"/>
    <mergeCell ref="D8:G8"/>
    <mergeCell ref="B8:B9"/>
    <mergeCell ref="C8:C9"/>
    <mergeCell ref="H8:H9"/>
    <mergeCell ref="I8:I9"/>
    <mergeCell ref="J8:J9"/>
    <mergeCell ref="K8:K9"/>
    <mergeCell ref="L8:L9"/>
    <mergeCell ref="M8:M9"/>
    <mergeCell ref="N8:N9"/>
  </mergeCells>
  <printOptions horizontalCentered="1"/>
  <pageMargins left="0.23622047244094499" right="0.23622047244094499" top="0.74803149606299202" bottom="0.74803149606299202" header="0.31496062992126" footer="0.31496062992126"/>
  <pageSetup scale="5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pageSetUpPr fitToPage="1"/>
  </sheetPr>
  <dimension ref="A2:P35"/>
  <sheetViews>
    <sheetView showGridLines="0" workbookViewId="0">
      <selection activeCell="B33" sqref="B33"/>
    </sheetView>
  </sheetViews>
  <sheetFormatPr baseColWidth="10" defaultColWidth="11.42578125" defaultRowHeight="15"/>
  <cols>
    <col min="1" max="1" width="4.85546875" customWidth="1"/>
    <col min="2" max="2" width="18.42578125" customWidth="1"/>
    <col min="3" max="3" width="23.28515625" customWidth="1"/>
    <col min="4" max="15" width="18.42578125" customWidth="1"/>
    <col min="16" max="16" width="14.85546875" customWidth="1"/>
  </cols>
  <sheetData>
    <row r="2" spans="1:16" ht="16.5">
      <c r="A2" s="189"/>
      <c r="B2" s="190" t="s">
        <v>264</v>
      </c>
      <c r="C2" s="191"/>
      <c r="D2" s="191"/>
      <c r="E2" s="191"/>
      <c r="F2" s="191"/>
      <c r="G2" s="191"/>
      <c r="H2" s="191"/>
      <c r="I2" s="191"/>
      <c r="J2" s="191"/>
      <c r="K2" s="191"/>
      <c r="L2" s="191"/>
      <c r="M2" s="191"/>
      <c r="N2" s="191"/>
      <c r="O2" s="191"/>
      <c r="P2" s="196"/>
    </row>
    <row r="3" spans="1:16" ht="20.25">
      <c r="A3" s="192"/>
      <c r="B3" s="580" t="s">
        <v>265</v>
      </c>
      <c r="C3" s="581"/>
      <c r="D3" s="581"/>
      <c r="E3" s="581"/>
      <c r="F3" s="581"/>
      <c r="G3" s="581"/>
      <c r="H3" s="581"/>
      <c r="I3" s="581"/>
      <c r="J3" s="581"/>
      <c r="K3" s="581"/>
      <c r="L3" s="581"/>
      <c r="M3" s="581"/>
      <c r="N3" s="581"/>
      <c r="O3" s="581"/>
      <c r="P3" s="197"/>
    </row>
    <row r="4" spans="1:16">
      <c r="B4" s="582"/>
      <c r="C4" s="582"/>
      <c r="D4" s="582"/>
      <c r="E4" s="582"/>
      <c r="F4" s="582"/>
      <c r="G4" s="582"/>
      <c r="H4" s="582"/>
      <c r="I4" s="582"/>
      <c r="J4" s="582"/>
      <c r="K4" s="582"/>
      <c r="L4" s="582"/>
      <c r="M4" s="582"/>
      <c r="N4" s="174"/>
      <c r="O4" s="174"/>
      <c r="P4" s="192"/>
    </row>
    <row r="5" spans="1:16" ht="16.5">
      <c r="A5" s="193"/>
      <c r="B5" s="125" t="s">
        <v>2</v>
      </c>
      <c r="C5" s="126"/>
      <c r="D5" s="127"/>
      <c r="E5" s="173"/>
      <c r="F5" s="173"/>
      <c r="G5" s="173"/>
      <c r="H5" s="173"/>
      <c r="I5" s="173"/>
      <c r="J5" s="173"/>
      <c r="K5" s="2"/>
      <c r="L5" s="2"/>
      <c r="M5" s="2"/>
      <c r="N5" s="2"/>
      <c r="O5" s="2"/>
    </row>
    <row r="6" spans="1:16" ht="16.5">
      <c r="B6" s="125" t="s">
        <v>3</v>
      </c>
      <c r="C6" s="126"/>
      <c r="D6" s="127"/>
      <c r="E6" s="174"/>
      <c r="F6" s="174"/>
      <c r="G6" s="174"/>
      <c r="H6" s="582"/>
      <c r="I6" s="582"/>
      <c r="J6" s="582"/>
      <c r="K6" s="582"/>
      <c r="L6" s="582"/>
      <c r="M6" s="582"/>
      <c r="N6" s="582"/>
      <c r="O6" s="582"/>
      <c r="P6" s="193"/>
    </row>
    <row r="7" spans="1:16" ht="18" customHeight="1">
      <c r="B7" s="582"/>
      <c r="C7" s="582"/>
      <c r="D7" s="582"/>
      <c r="E7" s="582"/>
      <c r="F7" s="582"/>
      <c r="G7" s="582"/>
      <c r="H7" s="582"/>
      <c r="I7" s="582"/>
      <c r="J7" s="582"/>
      <c r="K7" s="582"/>
      <c r="L7" s="582"/>
      <c r="M7" s="582"/>
      <c r="N7" s="582"/>
      <c r="O7" s="582"/>
      <c r="P7" s="193"/>
    </row>
    <row r="8" spans="1:16" ht="15" customHeight="1">
      <c r="B8" s="595" t="s">
        <v>266</v>
      </c>
      <c r="C8" s="570" t="s">
        <v>267</v>
      </c>
      <c r="D8" s="570" t="s">
        <v>268</v>
      </c>
      <c r="E8" s="570" t="s">
        <v>269</v>
      </c>
      <c r="F8" s="570" t="s">
        <v>270</v>
      </c>
      <c r="G8" s="570" t="s">
        <v>271</v>
      </c>
      <c r="H8" s="570" t="s">
        <v>272</v>
      </c>
      <c r="I8" s="570" t="s">
        <v>273</v>
      </c>
      <c r="J8" s="570" t="s">
        <v>274</v>
      </c>
      <c r="K8" s="570" t="s">
        <v>250</v>
      </c>
      <c r="L8" s="570" t="s">
        <v>275</v>
      </c>
      <c r="M8" s="570" t="s">
        <v>276</v>
      </c>
      <c r="N8" s="570" t="s">
        <v>253</v>
      </c>
      <c r="O8" s="599" t="s">
        <v>254</v>
      </c>
    </row>
    <row r="9" spans="1:16" ht="15" customHeight="1">
      <c r="B9" s="596"/>
      <c r="C9" s="597"/>
      <c r="D9" s="597"/>
      <c r="E9" s="598"/>
      <c r="F9" s="597"/>
      <c r="G9" s="597"/>
      <c r="H9" s="597"/>
      <c r="I9" s="597"/>
      <c r="J9" s="597"/>
      <c r="K9" s="597"/>
      <c r="L9" s="597"/>
      <c r="M9" s="597"/>
      <c r="N9" s="597"/>
      <c r="O9" s="600"/>
    </row>
    <row r="10" spans="1:16" ht="44.25" customHeight="1">
      <c r="B10" s="596"/>
      <c r="C10" s="571"/>
      <c r="D10" s="597"/>
      <c r="E10" s="550"/>
      <c r="F10" s="571"/>
      <c r="G10" s="571"/>
      <c r="H10" s="571"/>
      <c r="I10" s="571"/>
      <c r="J10" s="571"/>
      <c r="K10" s="571"/>
      <c r="L10" s="571"/>
      <c r="M10" s="571"/>
      <c r="N10" s="571"/>
      <c r="O10" s="601"/>
    </row>
    <row r="11" spans="1:16">
      <c r="B11" s="175"/>
      <c r="C11" s="175"/>
      <c r="D11" s="175"/>
      <c r="E11" s="175"/>
      <c r="F11" s="175"/>
      <c r="G11" s="175"/>
      <c r="H11" s="175"/>
      <c r="I11" s="175"/>
      <c r="J11" s="175"/>
      <c r="K11" s="175"/>
      <c r="L11" s="175"/>
      <c r="M11" s="175"/>
      <c r="N11" s="175"/>
      <c r="O11" s="175"/>
    </row>
    <row r="12" spans="1:16">
      <c r="B12" s="175"/>
      <c r="C12" s="175"/>
      <c r="D12" s="175"/>
      <c r="E12" s="175"/>
      <c r="F12" s="175"/>
      <c r="G12" s="175"/>
      <c r="H12" s="175"/>
      <c r="I12" s="175"/>
      <c r="J12" s="175"/>
      <c r="K12" s="175"/>
      <c r="L12" s="175"/>
      <c r="M12" s="175"/>
      <c r="N12" s="175"/>
      <c r="O12" s="175"/>
    </row>
    <row r="13" spans="1:16">
      <c r="B13" s="175"/>
      <c r="C13" s="175"/>
      <c r="D13" s="175"/>
      <c r="E13" s="175"/>
      <c r="F13" s="175"/>
      <c r="G13" s="175"/>
      <c r="H13" s="175" t="s">
        <v>277</v>
      </c>
      <c r="I13" s="175"/>
      <c r="J13" s="175"/>
      <c r="K13" s="175"/>
      <c r="L13" s="175"/>
      <c r="M13" s="175"/>
      <c r="N13" s="175"/>
      <c r="O13" s="175"/>
    </row>
    <row r="14" spans="1:16">
      <c r="B14" s="175"/>
      <c r="C14" s="175"/>
      <c r="D14" s="175"/>
      <c r="E14" s="175"/>
      <c r="F14" s="175"/>
      <c r="G14" s="175"/>
      <c r="H14" s="175"/>
      <c r="I14" s="175"/>
      <c r="J14" s="175"/>
      <c r="K14" s="175"/>
      <c r="L14" s="175"/>
      <c r="M14" s="175"/>
      <c r="N14" s="175"/>
      <c r="O14" s="175"/>
    </row>
    <row r="15" spans="1:16">
      <c r="B15" s="175"/>
      <c r="C15" s="175"/>
      <c r="D15" s="175"/>
      <c r="E15" s="175"/>
      <c r="F15" s="175"/>
      <c r="G15" s="175"/>
      <c r="H15" s="175"/>
      <c r="I15" s="175"/>
      <c r="J15" s="175"/>
      <c r="K15" s="175"/>
      <c r="L15" s="175"/>
      <c r="M15" s="175"/>
      <c r="N15" s="175"/>
      <c r="O15" s="175"/>
    </row>
    <row r="16" spans="1:16">
      <c r="B16" s="175"/>
      <c r="C16" s="175"/>
      <c r="D16" s="175"/>
      <c r="E16" s="175"/>
      <c r="F16" s="175"/>
      <c r="G16" s="175"/>
      <c r="H16" s="175"/>
      <c r="I16" s="175"/>
      <c r="J16" s="175"/>
      <c r="K16" s="175"/>
      <c r="L16" s="175"/>
      <c r="M16" s="175"/>
      <c r="N16" s="175"/>
      <c r="O16" s="175"/>
    </row>
    <row r="17" spans="2:15">
      <c r="B17" s="175"/>
      <c r="C17" s="175"/>
      <c r="D17" s="175"/>
      <c r="E17" s="175"/>
      <c r="F17" s="175"/>
      <c r="G17" s="175"/>
      <c r="H17" s="175"/>
      <c r="I17" s="175"/>
      <c r="J17" s="175"/>
      <c r="K17" s="175"/>
      <c r="L17" s="175"/>
      <c r="M17" s="175"/>
      <c r="N17" s="175"/>
      <c r="O17" s="175"/>
    </row>
    <row r="18" spans="2:15">
      <c r="B18" s="175"/>
      <c r="C18" s="175"/>
      <c r="D18" s="175"/>
      <c r="E18" s="175"/>
      <c r="F18" s="175"/>
      <c r="G18" s="175"/>
      <c r="H18" s="175"/>
      <c r="I18" s="175"/>
      <c r="J18" s="175"/>
      <c r="K18" s="175"/>
      <c r="L18" s="175"/>
      <c r="M18" s="175"/>
      <c r="N18" s="175"/>
      <c r="O18" s="175"/>
    </row>
    <row r="19" spans="2:15">
      <c r="B19" s="175"/>
      <c r="C19" s="175"/>
      <c r="D19" s="175"/>
      <c r="E19" s="175"/>
      <c r="F19" s="175"/>
      <c r="G19" s="175"/>
      <c r="H19" s="175"/>
      <c r="I19" s="175"/>
      <c r="J19" s="175"/>
      <c r="K19" s="175"/>
      <c r="L19" s="175"/>
      <c r="M19" s="175"/>
      <c r="N19" s="175"/>
      <c r="O19" s="175"/>
    </row>
    <row r="20" spans="2:15">
      <c r="B20" s="175"/>
      <c r="C20" s="175"/>
      <c r="D20" s="175"/>
      <c r="E20" s="175"/>
      <c r="F20" s="175"/>
      <c r="G20" s="175"/>
      <c r="H20" s="175"/>
      <c r="I20" s="175"/>
      <c r="J20" s="175"/>
      <c r="K20" s="175"/>
      <c r="L20" s="175"/>
      <c r="M20" s="175"/>
      <c r="N20" s="175"/>
      <c r="O20" s="175"/>
    </row>
    <row r="21" spans="2:15">
      <c r="B21" s="175"/>
      <c r="C21" s="175"/>
      <c r="D21" s="175"/>
      <c r="E21" s="175"/>
      <c r="F21" s="175"/>
      <c r="G21" s="175"/>
      <c r="H21" s="175"/>
      <c r="I21" s="175"/>
      <c r="J21" s="175"/>
      <c r="K21" s="175"/>
      <c r="L21" s="175"/>
      <c r="M21" s="175"/>
      <c r="N21" s="175"/>
      <c r="O21" s="175"/>
    </row>
    <row r="22" spans="2:15">
      <c r="B22" s="175"/>
      <c r="C22" s="175"/>
      <c r="D22" s="175"/>
      <c r="E22" s="175"/>
      <c r="F22" s="175"/>
      <c r="G22" s="175"/>
      <c r="H22" s="175"/>
      <c r="I22" s="175"/>
      <c r="J22" s="175"/>
      <c r="K22" s="175"/>
      <c r="L22" s="175"/>
      <c r="M22" s="175"/>
      <c r="N22" s="175"/>
      <c r="O22" s="175"/>
    </row>
    <row r="23" spans="2:15">
      <c r="B23" s="175"/>
      <c r="C23" s="175"/>
      <c r="D23" s="175"/>
      <c r="E23" s="175"/>
      <c r="F23" s="175"/>
      <c r="G23" s="175"/>
      <c r="H23" s="175"/>
      <c r="I23" s="175"/>
      <c r="J23" s="175"/>
      <c r="K23" s="175"/>
      <c r="L23" s="175"/>
      <c r="M23" s="175"/>
      <c r="N23" s="175"/>
      <c r="O23" s="175"/>
    </row>
    <row r="24" spans="2:15">
      <c r="B24" s="194"/>
      <c r="C24" s="194"/>
      <c r="D24" s="175"/>
      <c r="E24" s="175"/>
      <c r="F24" s="175"/>
      <c r="G24" s="175"/>
      <c r="H24" s="175"/>
      <c r="I24" s="175"/>
      <c r="J24" s="175"/>
      <c r="K24" s="175"/>
      <c r="L24" s="175"/>
      <c r="M24" s="175"/>
      <c r="N24" s="175"/>
      <c r="O24" s="175"/>
    </row>
    <row r="25" spans="2:15">
      <c r="B25" s="175"/>
      <c r="C25" s="175"/>
      <c r="D25" s="175"/>
      <c r="E25" s="175"/>
      <c r="F25" s="175"/>
      <c r="G25" s="175"/>
      <c r="H25" s="175"/>
      <c r="I25" s="175"/>
      <c r="J25" s="175"/>
      <c r="K25" s="175"/>
      <c r="L25" s="175"/>
      <c r="M25" s="194"/>
      <c r="N25" s="198"/>
      <c r="O25" s="194"/>
    </row>
    <row r="26" spans="2:15">
      <c r="B26" s="553" t="s">
        <v>278</v>
      </c>
      <c r="C26" s="554"/>
      <c r="D26" s="554"/>
      <c r="E26" s="554"/>
      <c r="F26" s="554"/>
      <c r="G26" s="554"/>
      <c r="H26" s="554"/>
      <c r="I26" s="554"/>
      <c r="J26" s="554"/>
      <c r="K26" s="554"/>
      <c r="L26" s="554"/>
      <c r="M26" s="182"/>
      <c r="N26" s="182"/>
      <c r="O26" s="183"/>
    </row>
    <row r="27" spans="2:15">
      <c r="B27" s="176"/>
      <c r="C27" s="176"/>
      <c r="D27" s="176"/>
      <c r="E27" s="176"/>
      <c r="F27" s="176"/>
      <c r="G27" s="176"/>
      <c r="H27" s="176"/>
      <c r="I27" s="176"/>
      <c r="J27" s="176"/>
      <c r="K27" s="176"/>
      <c r="L27" s="176"/>
      <c r="M27" s="176"/>
      <c r="N27" s="176"/>
      <c r="O27" s="176"/>
    </row>
    <row r="28" spans="2:15" s="122" customFormat="1" ht="16.5" customHeight="1">
      <c r="B28" s="583" t="s">
        <v>40</v>
      </c>
      <c r="C28" s="584"/>
      <c r="D28" s="585" t="s">
        <v>41</v>
      </c>
      <c r="E28" s="586"/>
      <c r="F28" s="586"/>
      <c r="G28" s="587"/>
      <c r="H28" s="588" t="s">
        <v>42</v>
      </c>
      <c r="I28" s="589"/>
      <c r="J28" s="186"/>
      <c r="K28" s="186"/>
      <c r="L28" s="186"/>
      <c r="M28" s="186"/>
      <c r="N28" s="199"/>
      <c r="O28" s="199"/>
    </row>
    <row r="29" spans="2:15">
      <c r="B29" s="539" t="s">
        <v>43</v>
      </c>
      <c r="C29" s="540"/>
      <c r="D29" s="590"/>
      <c r="E29" s="591"/>
      <c r="F29" s="591"/>
      <c r="G29" s="592"/>
      <c r="H29" s="579"/>
      <c r="I29" s="593"/>
      <c r="J29" s="176"/>
      <c r="K29" s="176"/>
      <c r="L29" s="176"/>
      <c r="M29" s="176"/>
      <c r="N29" s="176"/>
      <c r="O29" s="176"/>
    </row>
    <row r="30" spans="2:15">
      <c r="B30" s="539" t="s">
        <v>45</v>
      </c>
      <c r="C30" s="540"/>
      <c r="D30" s="590"/>
      <c r="E30" s="591"/>
      <c r="F30" s="591"/>
      <c r="G30" s="592"/>
      <c r="H30" s="594"/>
      <c r="I30" s="593"/>
      <c r="J30" s="176"/>
      <c r="K30" s="176"/>
      <c r="L30" s="176"/>
      <c r="M30" s="176"/>
      <c r="N30" s="176"/>
      <c r="O30" s="176"/>
    </row>
    <row r="31" spans="2:15">
      <c r="B31" s="539" t="s">
        <v>46</v>
      </c>
      <c r="C31" s="540"/>
      <c r="D31" s="590"/>
      <c r="E31" s="591"/>
      <c r="F31" s="591"/>
      <c r="G31" s="592"/>
      <c r="H31" s="594"/>
      <c r="I31" s="593"/>
      <c r="J31" s="176"/>
      <c r="K31" s="176"/>
      <c r="L31" s="176"/>
      <c r="M31" s="176"/>
      <c r="N31" s="176"/>
      <c r="O31" s="176"/>
    </row>
    <row r="32" spans="2:15" ht="15" customHeight="1">
      <c r="B32" s="176"/>
      <c r="C32" s="176"/>
      <c r="D32" s="176"/>
      <c r="E32" s="176"/>
      <c r="F32" s="176"/>
      <c r="G32" s="176"/>
      <c r="H32" s="181" t="s">
        <v>47</v>
      </c>
      <c r="I32" s="176"/>
      <c r="J32" s="176"/>
      <c r="K32" s="176"/>
      <c r="L32" s="176"/>
      <c r="M32" s="176"/>
      <c r="N32" s="176"/>
      <c r="O32" s="176"/>
    </row>
    <row r="33" spans="2:15" ht="16.5">
      <c r="B33" s="134" t="s">
        <v>279</v>
      </c>
      <c r="C33" s="2"/>
      <c r="D33" s="2"/>
      <c r="E33" s="2"/>
      <c r="F33" s="2"/>
      <c r="G33" s="2"/>
      <c r="H33" s="2"/>
      <c r="I33" s="2"/>
      <c r="J33" s="2"/>
      <c r="K33" s="2"/>
      <c r="L33" s="2"/>
      <c r="M33" s="2"/>
      <c r="N33" s="2"/>
      <c r="O33" s="2"/>
    </row>
    <row r="34" spans="2:15" ht="15" customHeight="1"/>
    <row r="35" spans="2:15">
      <c r="H35" s="195"/>
      <c r="I35" s="195"/>
      <c r="J35" s="195"/>
    </row>
  </sheetData>
  <mergeCells count="32">
    <mergeCell ref="L8:L10"/>
    <mergeCell ref="M8:M10"/>
    <mergeCell ref="N8:N10"/>
    <mergeCell ref="O8:O10"/>
    <mergeCell ref="G8:G10"/>
    <mergeCell ref="H8:H10"/>
    <mergeCell ref="I8:I10"/>
    <mergeCell ref="J8:J10"/>
    <mergeCell ref="K8:K10"/>
    <mergeCell ref="B8:B10"/>
    <mergeCell ref="C8:C10"/>
    <mergeCell ref="D8:D10"/>
    <mergeCell ref="E8:E10"/>
    <mergeCell ref="F8:F10"/>
    <mergeCell ref="B30:C30"/>
    <mergeCell ref="D30:G30"/>
    <mergeCell ref="H30:I30"/>
    <mergeCell ref="B31:C31"/>
    <mergeCell ref="D31:G31"/>
    <mergeCell ref="H31:I31"/>
    <mergeCell ref="B26:L26"/>
    <mergeCell ref="B28:C28"/>
    <mergeCell ref="D28:G28"/>
    <mergeCell ref="H28:I28"/>
    <mergeCell ref="B29:C29"/>
    <mergeCell ref="D29:G29"/>
    <mergeCell ref="H29:I29"/>
    <mergeCell ref="B3:O3"/>
    <mergeCell ref="B4:M4"/>
    <mergeCell ref="H6:I6"/>
    <mergeCell ref="J6:O6"/>
    <mergeCell ref="B7:O7"/>
  </mergeCells>
  <pageMargins left="0.7" right="0.7" top="0.75" bottom="0.75" header="0.3" footer="0.3"/>
  <pageSetup scale="43"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sheetPr>
  <dimension ref="B2:U34"/>
  <sheetViews>
    <sheetView showGridLines="0" zoomScaleSheetLayoutView="90" workbookViewId="0">
      <selection activeCell="F18" sqref="F18"/>
    </sheetView>
  </sheetViews>
  <sheetFormatPr baseColWidth="10" defaultColWidth="11.42578125" defaultRowHeight="15"/>
  <cols>
    <col min="1" max="1" width="2.140625" customWidth="1"/>
    <col min="2" max="12" width="22.7109375" customWidth="1"/>
    <col min="13" max="14" width="19.28515625" customWidth="1"/>
  </cols>
  <sheetData>
    <row r="2" spans="2:12" ht="15" customHeight="1">
      <c r="B2" s="562" t="s">
        <v>280</v>
      </c>
      <c r="C2" s="562"/>
      <c r="D2" s="562"/>
      <c r="E2" s="562"/>
      <c r="F2" s="562"/>
      <c r="G2" s="562"/>
      <c r="H2" s="562"/>
      <c r="I2" s="2"/>
      <c r="J2" s="2"/>
      <c r="K2" s="2"/>
      <c r="L2" s="2"/>
    </row>
    <row r="3" spans="2:12" ht="23.25" customHeight="1">
      <c r="B3" s="602" t="s">
        <v>281</v>
      </c>
      <c r="C3" s="602"/>
      <c r="D3" s="602"/>
      <c r="E3" s="602"/>
      <c r="F3" s="602"/>
      <c r="G3" s="602"/>
      <c r="H3" s="602"/>
      <c r="I3" s="602"/>
      <c r="J3" s="602"/>
      <c r="K3" s="602"/>
      <c r="L3" s="602"/>
    </row>
    <row r="4" spans="2:12" ht="16.5">
      <c r="B4" s="2"/>
      <c r="C4" s="2"/>
      <c r="D4" s="2"/>
      <c r="E4" s="2"/>
      <c r="F4" s="2"/>
      <c r="G4" s="2"/>
      <c r="H4" s="2"/>
      <c r="I4" s="2"/>
      <c r="J4" s="2"/>
      <c r="K4" s="2"/>
      <c r="L4" s="2"/>
    </row>
    <row r="5" spans="2:12" ht="16.5">
      <c r="B5" s="125" t="s">
        <v>2</v>
      </c>
      <c r="C5" s="126"/>
      <c r="D5" s="127"/>
      <c r="E5" s="173"/>
      <c r="F5" s="173"/>
      <c r="G5" s="2"/>
      <c r="H5" s="2"/>
      <c r="I5" s="2"/>
      <c r="J5" s="2"/>
      <c r="K5" s="2"/>
      <c r="L5" s="2"/>
    </row>
    <row r="6" spans="2:12" ht="16.5">
      <c r="B6" s="125" t="s">
        <v>3</v>
      </c>
      <c r="C6" s="126"/>
      <c r="D6" s="127"/>
      <c r="E6" s="174"/>
      <c r="F6" s="174"/>
      <c r="G6" s="2"/>
      <c r="H6" s="2"/>
      <c r="I6" s="2"/>
      <c r="J6" s="2"/>
      <c r="K6" s="2"/>
      <c r="L6" s="2"/>
    </row>
    <row r="7" spans="2:12" ht="16.5">
      <c r="B7" s="3"/>
      <c r="C7" s="2"/>
      <c r="D7" s="2"/>
      <c r="E7" s="2"/>
      <c r="F7" s="2"/>
      <c r="G7" s="2"/>
      <c r="H7" s="2"/>
      <c r="I7" s="2"/>
      <c r="J7" s="2"/>
      <c r="K7" s="2"/>
      <c r="L7" s="2"/>
    </row>
    <row r="8" spans="2:12" ht="15" customHeight="1">
      <c r="B8" s="595" t="s">
        <v>55</v>
      </c>
      <c r="C8" s="570" t="s">
        <v>282</v>
      </c>
      <c r="D8" s="570" t="s">
        <v>283</v>
      </c>
      <c r="E8" s="570" t="s">
        <v>284</v>
      </c>
      <c r="F8" s="570" t="s">
        <v>285</v>
      </c>
      <c r="G8" s="570" t="s">
        <v>274</v>
      </c>
      <c r="H8" s="570" t="s">
        <v>250</v>
      </c>
      <c r="I8" s="570" t="s">
        <v>275</v>
      </c>
      <c r="J8" s="549" t="s">
        <v>286</v>
      </c>
      <c r="K8" s="605" t="s">
        <v>253</v>
      </c>
      <c r="L8" s="599" t="s">
        <v>254</v>
      </c>
    </row>
    <row r="9" spans="2:12" ht="15" customHeight="1">
      <c r="B9" s="596"/>
      <c r="C9" s="597"/>
      <c r="D9" s="597"/>
      <c r="E9" s="598"/>
      <c r="F9" s="597"/>
      <c r="G9" s="598"/>
      <c r="H9" s="597"/>
      <c r="I9" s="598"/>
      <c r="J9" s="598"/>
      <c r="K9" s="606"/>
      <c r="L9" s="607"/>
    </row>
    <row r="10" spans="2:12" ht="33.75" customHeight="1">
      <c r="B10" s="596"/>
      <c r="C10" s="571"/>
      <c r="D10" s="571"/>
      <c r="E10" s="550"/>
      <c r="F10" s="597"/>
      <c r="G10" s="598"/>
      <c r="H10" s="571"/>
      <c r="I10" s="550"/>
      <c r="J10" s="550"/>
      <c r="K10" s="606"/>
      <c r="L10" s="607"/>
    </row>
    <row r="11" spans="2:12">
      <c r="B11" s="175"/>
      <c r="C11" s="175"/>
      <c r="D11" s="175"/>
      <c r="E11" s="175"/>
      <c r="F11" s="175"/>
      <c r="G11" s="175"/>
      <c r="H11" s="175"/>
      <c r="I11" s="175"/>
      <c r="J11" s="175"/>
      <c r="K11" s="175"/>
      <c r="L11" s="175"/>
    </row>
    <row r="12" spans="2:12">
      <c r="B12" s="175"/>
      <c r="C12" s="175"/>
      <c r="D12" s="175"/>
      <c r="E12" s="175"/>
      <c r="F12" s="175"/>
      <c r="G12" s="175"/>
      <c r="H12" s="175"/>
      <c r="I12" s="175"/>
      <c r="J12" s="175"/>
      <c r="K12" s="175"/>
      <c r="L12" s="175"/>
    </row>
    <row r="13" spans="2:12">
      <c r="B13" s="175"/>
      <c r="C13" s="175"/>
      <c r="D13" s="175"/>
      <c r="E13" s="175"/>
      <c r="F13" s="175"/>
      <c r="G13" s="175"/>
      <c r="H13" s="175"/>
      <c r="I13" s="175"/>
      <c r="J13" s="175"/>
      <c r="K13" s="175"/>
      <c r="L13" s="175"/>
    </row>
    <row r="14" spans="2:12">
      <c r="B14" s="175"/>
      <c r="C14" s="175"/>
      <c r="D14" s="175"/>
      <c r="E14" s="175"/>
      <c r="F14" s="175"/>
      <c r="G14" s="175"/>
      <c r="H14" s="175"/>
      <c r="I14" s="175"/>
      <c r="J14" s="175"/>
      <c r="K14" s="175"/>
      <c r="L14" s="175"/>
    </row>
    <row r="15" spans="2:12">
      <c r="B15" s="175"/>
      <c r="C15" s="175"/>
      <c r="D15" s="175"/>
      <c r="E15" s="175"/>
      <c r="F15" s="175"/>
      <c r="G15" s="175"/>
      <c r="H15" s="175"/>
      <c r="I15" s="175"/>
      <c r="J15" s="175"/>
      <c r="K15" s="175"/>
      <c r="L15" s="175"/>
    </row>
    <row r="16" spans="2:12">
      <c r="B16" s="175"/>
      <c r="C16" s="175"/>
      <c r="D16" s="175"/>
      <c r="E16" s="175"/>
      <c r="F16" s="175"/>
      <c r="G16" s="175"/>
      <c r="H16" s="175"/>
      <c r="I16" s="175"/>
      <c r="J16" s="175"/>
      <c r="K16" s="175"/>
      <c r="L16" s="175"/>
    </row>
    <row r="17" spans="2:21">
      <c r="B17" s="175"/>
      <c r="C17" s="175"/>
      <c r="D17" s="175"/>
      <c r="E17" s="175"/>
      <c r="F17" s="175"/>
      <c r="G17" s="175"/>
      <c r="H17" s="175"/>
      <c r="I17" s="175"/>
      <c r="J17" s="175"/>
      <c r="K17" s="175"/>
      <c r="L17" s="175"/>
    </row>
    <row r="18" spans="2:21">
      <c r="B18" s="175"/>
      <c r="C18" s="175"/>
      <c r="D18" s="175"/>
      <c r="E18" s="175"/>
      <c r="F18" s="175"/>
      <c r="G18" s="175"/>
      <c r="H18" s="175"/>
      <c r="I18" s="175"/>
      <c r="J18" s="175"/>
      <c r="K18" s="175"/>
      <c r="L18" s="175"/>
    </row>
    <row r="19" spans="2:21">
      <c r="B19" s="175"/>
      <c r="C19" s="175"/>
      <c r="D19" s="175"/>
      <c r="E19" s="175"/>
      <c r="F19" s="175"/>
      <c r="G19" s="175"/>
      <c r="H19" s="175"/>
      <c r="I19" s="175"/>
      <c r="J19" s="175"/>
      <c r="K19" s="175"/>
      <c r="L19" s="175"/>
    </row>
    <row r="20" spans="2:21">
      <c r="B20" s="175"/>
      <c r="C20" s="175"/>
      <c r="D20" s="175"/>
      <c r="E20" s="175"/>
      <c r="F20" s="175"/>
      <c r="G20" s="175"/>
      <c r="H20" s="175"/>
      <c r="I20" s="175"/>
      <c r="J20" s="175"/>
      <c r="K20" s="175"/>
      <c r="L20" s="175"/>
    </row>
    <row r="21" spans="2:21">
      <c r="B21" s="175"/>
      <c r="C21" s="175"/>
      <c r="D21" s="175"/>
      <c r="E21" s="175"/>
      <c r="F21" s="175"/>
      <c r="G21" s="175"/>
      <c r="H21" s="175"/>
      <c r="I21" s="175"/>
      <c r="J21" s="175"/>
      <c r="K21" s="175"/>
      <c r="L21" s="175"/>
    </row>
    <row r="22" spans="2:21">
      <c r="B22" s="175"/>
      <c r="C22" s="175"/>
      <c r="D22" s="175"/>
      <c r="E22" s="175"/>
      <c r="F22" s="175"/>
      <c r="G22" s="175"/>
      <c r="H22" s="175"/>
      <c r="I22" s="175"/>
      <c r="J22" s="175"/>
      <c r="K22" s="175"/>
      <c r="L22" s="175"/>
    </row>
    <row r="23" spans="2:21">
      <c r="B23" s="175"/>
      <c r="C23" s="175"/>
      <c r="D23" s="175"/>
      <c r="E23" s="175"/>
      <c r="F23" s="175"/>
      <c r="G23" s="175"/>
      <c r="H23" s="175"/>
      <c r="I23" s="175"/>
      <c r="J23" s="175"/>
      <c r="K23" s="175"/>
      <c r="L23" s="175"/>
    </row>
    <row r="24" spans="2:21">
      <c r="B24" s="175"/>
      <c r="C24" s="175"/>
      <c r="D24" s="175"/>
      <c r="E24" s="175"/>
      <c r="F24" s="175"/>
      <c r="G24" s="175"/>
      <c r="H24" s="175"/>
      <c r="I24" s="175"/>
      <c r="J24" s="175"/>
      <c r="K24" s="175"/>
      <c r="L24" s="175"/>
    </row>
    <row r="25" spans="2:21">
      <c r="B25" s="175"/>
      <c r="C25" s="175"/>
      <c r="D25" s="175"/>
      <c r="E25" s="175"/>
      <c r="F25" s="175"/>
      <c r="G25" s="175"/>
      <c r="H25" s="175"/>
      <c r="I25" s="175"/>
      <c r="J25" s="175"/>
      <c r="K25" s="175"/>
      <c r="L25" s="175"/>
    </row>
    <row r="26" spans="2:21">
      <c r="B26" s="553" t="s">
        <v>278</v>
      </c>
      <c r="C26" s="554"/>
      <c r="D26" s="554"/>
      <c r="E26" s="554"/>
      <c r="F26" s="554"/>
      <c r="G26" s="554"/>
      <c r="H26" s="554"/>
      <c r="I26" s="555"/>
      <c r="J26" s="182"/>
      <c r="K26" s="182"/>
      <c r="L26" s="183"/>
    </row>
    <row r="27" spans="2:21">
      <c r="B27" s="176"/>
      <c r="C27" s="176"/>
      <c r="D27" s="176"/>
      <c r="E27" s="176"/>
      <c r="F27" s="176"/>
      <c r="G27" s="176"/>
      <c r="H27" s="176"/>
      <c r="I27" s="176"/>
      <c r="J27" s="176"/>
      <c r="K27" s="176"/>
      <c r="L27" s="176"/>
    </row>
    <row r="28" spans="2:21">
      <c r="B28" s="426" t="s">
        <v>40</v>
      </c>
      <c r="C28" s="429"/>
      <c r="D28" s="427" t="s">
        <v>41</v>
      </c>
      <c r="E28" s="427"/>
      <c r="F28" s="427"/>
      <c r="G28" s="429"/>
      <c r="H28" s="428" t="s">
        <v>42</v>
      </c>
      <c r="I28" s="430"/>
      <c r="J28" s="185"/>
      <c r="K28" s="186"/>
      <c r="L28" s="176"/>
      <c r="M28" s="560"/>
      <c r="N28" s="560"/>
      <c r="O28" s="560"/>
      <c r="P28" s="560"/>
      <c r="Q28" s="560"/>
      <c r="R28" s="560"/>
      <c r="S28" s="560"/>
      <c r="T28" s="560"/>
      <c r="U28" s="560"/>
    </row>
    <row r="29" spans="2:21">
      <c r="B29" s="539" t="s">
        <v>43</v>
      </c>
      <c r="C29" s="603"/>
      <c r="D29" s="179"/>
      <c r="E29" s="78"/>
      <c r="F29" s="78"/>
      <c r="G29" s="78"/>
      <c r="H29" s="604"/>
      <c r="I29" s="604"/>
      <c r="J29" s="187"/>
      <c r="K29" s="187"/>
      <c r="L29" s="176"/>
      <c r="M29" s="561"/>
      <c r="N29" s="561"/>
      <c r="O29" s="561"/>
      <c r="P29" s="561"/>
      <c r="Q29" s="561"/>
      <c r="R29" s="561"/>
      <c r="S29" s="561"/>
      <c r="T29" s="561"/>
      <c r="U29" s="561"/>
    </row>
    <row r="30" spans="2:21">
      <c r="B30" s="539" t="s">
        <v>45</v>
      </c>
      <c r="C30" s="603"/>
      <c r="D30" s="179"/>
      <c r="E30" s="78"/>
      <c r="F30" s="78"/>
      <c r="G30" s="78"/>
      <c r="H30" s="604"/>
      <c r="I30" s="604"/>
      <c r="J30" s="187"/>
      <c r="K30" s="187"/>
      <c r="L30" s="176"/>
      <c r="M30" s="561"/>
      <c r="N30" s="561"/>
      <c r="O30" s="561"/>
      <c r="P30" s="561"/>
      <c r="Q30" s="561"/>
      <c r="R30" s="561"/>
      <c r="S30" s="561"/>
      <c r="T30" s="561"/>
      <c r="U30" s="561"/>
    </row>
    <row r="31" spans="2:21">
      <c r="B31" s="539" t="s">
        <v>46</v>
      </c>
      <c r="C31" s="603"/>
      <c r="D31" s="179"/>
      <c r="E31" s="78"/>
      <c r="F31" s="78"/>
      <c r="G31" s="78"/>
      <c r="H31" s="604"/>
      <c r="I31" s="604"/>
      <c r="J31" s="187"/>
      <c r="K31" s="187"/>
      <c r="L31" s="176"/>
      <c r="M31" s="561"/>
      <c r="N31" s="561"/>
      <c r="O31" s="561"/>
      <c r="P31" s="561"/>
      <c r="Q31" s="561"/>
      <c r="R31" s="561"/>
      <c r="S31" s="561"/>
      <c r="T31" s="561"/>
      <c r="U31" s="561"/>
    </row>
    <row r="32" spans="2:21">
      <c r="B32" s="176"/>
      <c r="C32" s="176"/>
      <c r="D32" s="176"/>
      <c r="E32" s="176"/>
      <c r="F32" s="176"/>
      <c r="G32" s="176"/>
      <c r="H32" s="181" t="s">
        <v>261</v>
      </c>
      <c r="I32" s="176"/>
      <c r="J32" s="176"/>
      <c r="K32" s="176"/>
      <c r="L32" s="176"/>
      <c r="M32" s="561"/>
      <c r="N32" s="561"/>
      <c r="O32" s="561"/>
      <c r="P32" s="561"/>
      <c r="Q32" s="561"/>
      <c r="R32" s="561"/>
      <c r="S32" s="561"/>
      <c r="T32" s="561"/>
      <c r="U32" s="561"/>
    </row>
    <row r="33" spans="2:2" ht="15.75">
      <c r="B33" s="134" t="s">
        <v>279</v>
      </c>
    </row>
    <row r="34" spans="2:2" ht="15.75">
      <c r="B34" s="134" t="s">
        <v>287</v>
      </c>
    </row>
  </sheetData>
  <mergeCells count="28">
    <mergeCell ref="B31:C31"/>
    <mergeCell ref="H31:I31"/>
    <mergeCell ref="M31:U31"/>
    <mergeCell ref="M32:U32"/>
    <mergeCell ref="B8:B10"/>
    <mergeCell ref="C8:C10"/>
    <mergeCell ref="D8:D10"/>
    <mergeCell ref="E8:E10"/>
    <mergeCell ref="F8:F10"/>
    <mergeCell ref="G8:G10"/>
    <mergeCell ref="H8:H10"/>
    <mergeCell ref="I8:I10"/>
    <mergeCell ref="J8:J10"/>
    <mergeCell ref="K8:K10"/>
    <mergeCell ref="L8:L10"/>
    <mergeCell ref="M28:U28"/>
    <mergeCell ref="B29:C29"/>
    <mergeCell ref="H29:I29"/>
    <mergeCell ref="M29:U29"/>
    <mergeCell ref="B30:C30"/>
    <mergeCell ref="H30:I30"/>
    <mergeCell ref="M30:U30"/>
    <mergeCell ref="B2:H2"/>
    <mergeCell ref="B3:L3"/>
    <mergeCell ref="B26:I26"/>
    <mergeCell ref="B28:C28"/>
    <mergeCell ref="D28:G28"/>
    <mergeCell ref="H28:I28"/>
  </mergeCells>
  <pageMargins left="0.7" right="0.7" top="0.75" bottom="0.75" header="0.3" footer="0.3"/>
  <pageSetup scale="40"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7"/>
  </sheetPr>
  <dimension ref="B1:S101"/>
  <sheetViews>
    <sheetView showGridLines="0" zoomScaleSheetLayoutView="90" workbookViewId="0">
      <selection activeCell="F9" sqref="F9"/>
    </sheetView>
  </sheetViews>
  <sheetFormatPr baseColWidth="10" defaultColWidth="14.42578125" defaultRowHeight="15" customHeight="1"/>
  <cols>
    <col min="1" max="1" width="4.7109375" style="158" customWidth="1"/>
    <col min="2" max="2" width="20.28515625" style="158" customWidth="1"/>
    <col min="3" max="3" width="21" style="158" customWidth="1"/>
    <col min="4" max="6" width="15.5703125" style="158" customWidth="1"/>
    <col min="7" max="7" width="19.85546875" style="158" customWidth="1"/>
    <col min="8" max="19" width="15.5703125" style="158" customWidth="1"/>
    <col min="20" max="38" width="11.42578125" style="158" customWidth="1"/>
    <col min="39" max="16384" width="14.42578125" style="158"/>
  </cols>
  <sheetData>
    <row r="1" spans="2:19" ht="15.75">
      <c r="I1" s="608"/>
      <c r="J1" s="609"/>
      <c r="K1" s="609"/>
      <c r="L1" s="609"/>
      <c r="M1" s="609"/>
      <c r="N1" s="609"/>
      <c r="O1" s="608"/>
      <c r="P1" s="609"/>
      <c r="Q1" s="609"/>
      <c r="R1" s="609"/>
      <c r="S1" s="609"/>
    </row>
    <row r="2" spans="2:19" ht="17.25">
      <c r="B2" s="610" t="s">
        <v>288</v>
      </c>
      <c r="C2" s="611"/>
      <c r="D2" s="611"/>
      <c r="E2" s="611"/>
      <c r="F2" s="611"/>
      <c r="G2" s="611"/>
      <c r="H2" s="611"/>
      <c r="I2" s="612"/>
      <c r="J2" s="613"/>
      <c r="K2" s="613"/>
      <c r="L2" s="613"/>
      <c r="M2" s="613"/>
      <c r="N2" s="613"/>
      <c r="O2" s="612"/>
      <c r="P2" s="613"/>
      <c r="Q2" s="613"/>
      <c r="R2" s="613"/>
      <c r="S2" s="613"/>
    </row>
    <row r="3" spans="2:19" ht="20.25">
      <c r="B3" s="614" t="s">
        <v>289</v>
      </c>
      <c r="C3" s="615"/>
      <c r="D3" s="615"/>
      <c r="E3" s="615"/>
      <c r="F3" s="615"/>
      <c r="G3" s="615"/>
      <c r="H3" s="615"/>
      <c r="I3" s="615"/>
      <c r="J3" s="615"/>
      <c r="K3" s="615"/>
      <c r="L3" s="615"/>
      <c r="M3" s="615"/>
      <c r="N3" s="615"/>
      <c r="O3" s="615"/>
      <c r="P3" s="615"/>
      <c r="Q3" s="615"/>
      <c r="R3" s="615"/>
      <c r="S3" s="615"/>
    </row>
    <row r="4" spans="2:19" ht="19.5">
      <c r="B4" s="616" t="s">
        <v>290</v>
      </c>
      <c r="C4" s="615"/>
      <c r="D4" s="615"/>
      <c r="E4" s="615"/>
      <c r="F4" s="615"/>
      <c r="G4" s="615"/>
      <c r="H4" s="615"/>
      <c r="I4" s="615"/>
      <c r="J4" s="615"/>
      <c r="K4" s="615"/>
      <c r="L4" s="615"/>
      <c r="M4" s="615"/>
      <c r="N4" s="615"/>
      <c r="O4" s="615"/>
      <c r="P4" s="615"/>
      <c r="Q4" s="615"/>
      <c r="R4" s="615"/>
      <c r="S4" s="615"/>
    </row>
    <row r="5" spans="2:19" ht="19.5">
      <c r="B5" s="142" t="s">
        <v>2</v>
      </c>
      <c r="C5" s="46"/>
      <c r="D5" s="47"/>
      <c r="E5" s="42"/>
      <c r="F5" s="42"/>
      <c r="G5" s="42"/>
      <c r="H5" s="42"/>
      <c r="I5" s="42"/>
      <c r="J5" s="42"/>
      <c r="K5" s="42"/>
      <c r="L5" s="42"/>
      <c r="M5" s="42"/>
      <c r="N5" s="42"/>
      <c r="O5" s="42"/>
      <c r="P5" s="42"/>
      <c r="Q5" s="42"/>
      <c r="R5" s="42"/>
      <c r="S5" s="42"/>
    </row>
    <row r="6" spans="2:19" ht="20.25">
      <c r="B6" s="142" t="s">
        <v>3</v>
      </c>
      <c r="C6" s="126"/>
      <c r="D6" s="127"/>
      <c r="E6" s="42"/>
      <c r="F6" s="42"/>
      <c r="G6" s="42"/>
      <c r="H6" s="42"/>
      <c r="I6" s="42"/>
      <c r="J6" s="42"/>
      <c r="K6" s="42"/>
      <c r="L6" s="42"/>
      <c r="M6" s="42"/>
      <c r="N6" s="42"/>
      <c r="O6" s="42"/>
      <c r="P6" s="42"/>
      <c r="Q6" s="42"/>
      <c r="R6" s="42"/>
      <c r="S6" s="42"/>
    </row>
    <row r="7" spans="2:19" ht="20.25">
      <c r="B7" s="159"/>
      <c r="C7" s="159"/>
      <c r="D7" s="41"/>
      <c r="E7" s="41"/>
      <c r="F7" s="41"/>
      <c r="G7" s="41"/>
      <c r="H7" s="41"/>
      <c r="I7" s="41"/>
      <c r="J7" s="41"/>
      <c r="K7" s="41"/>
      <c r="L7" s="41"/>
      <c r="M7" s="41"/>
      <c r="N7" s="41"/>
      <c r="O7" s="41"/>
      <c r="P7" s="41"/>
      <c r="Q7" s="41"/>
      <c r="R7" s="41"/>
      <c r="S7" s="41"/>
    </row>
    <row r="8" spans="2:19" ht="15.75" customHeight="1">
      <c r="B8" s="640" t="s">
        <v>291</v>
      </c>
      <c r="C8" s="617" t="s">
        <v>292</v>
      </c>
      <c r="D8" s="617" t="s">
        <v>293</v>
      </c>
      <c r="E8" s="618"/>
      <c r="F8" s="618"/>
      <c r="G8" s="646" t="s">
        <v>294</v>
      </c>
      <c r="H8" s="619">
        <v>2026</v>
      </c>
      <c r="I8" s="620"/>
      <c r="J8" s="620"/>
      <c r="K8" s="620"/>
      <c r="L8" s="620"/>
      <c r="M8" s="620"/>
      <c r="N8" s="620"/>
      <c r="O8" s="620"/>
      <c r="P8" s="620"/>
      <c r="Q8" s="620"/>
      <c r="R8" s="620"/>
      <c r="S8" s="621"/>
    </row>
    <row r="9" spans="2:19" ht="53.25" customHeight="1">
      <c r="B9" s="641"/>
      <c r="C9" s="645"/>
      <c r="D9" s="160" t="s">
        <v>295</v>
      </c>
      <c r="E9" s="160" t="s">
        <v>296</v>
      </c>
      <c r="F9" s="160" t="s">
        <v>297</v>
      </c>
      <c r="G9" s="647"/>
      <c r="H9" s="161" t="s">
        <v>298</v>
      </c>
      <c r="I9" s="161" t="s">
        <v>299</v>
      </c>
      <c r="J9" s="161" t="s">
        <v>300</v>
      </c>
      <c r="K9" s="161" t="s">
        <v>301</v>
      </c>
      <c r="L9" s="161" t="s">
        <v>302</v>
      </c>
      <c r="M9" s="161" t="s">
        <v>303</v>
      </c>
      <c r="N9" s="161" t="s">
        <v>304</v>
      </c>
      <c r="O9" s="161" t="s">
        <v>305</v>
      </c>
      <c r="P9" s="161" t="s">
        <v>306</v>
      </c>
      <c r="Q9" s="161" t="s">
        <v>307</v>
      </c>
      <c r="R9" s="161" t="s">
        <v>308</v>
      </c>
      <c r="S9" s="172" t="s">
        <v>309</v>
      </c>
    </row>
    <row r="10" spans="2:19" ht="19.5" customHeight="1">
      <c r="B10" s="642"/>
      <c r="C10" s="162" t="s">
        <v>310</v>
      </c>
      <c r="D10" s="163"/>
      <c r="E10" s="163"/>
      <c r="F10" s="163"/>
      <c r="G10" s="163"/>
      <c r="H10" s="164"/>
      <c r="I10" s="164"/>
      <c r="J10" s="169"/>
      <c r="K10" s="169"/>
      <c r="L10" s="169"/>
      <c r="M10" s="169"/>
      <c r="N10" s="169"/>
      <c r="O10" s="169"/>
      <c r="P10" s="169"/>
      <c r="Q10" s="169"/>
      <c r="R10" s="169"/>
      <c r="S10" s="169"/>
    </row>
    <row r="11" spans="2:19" ht="19.5" customHeight="1">
      <c r="B11" s="643"/>
      <c r="C11" s="165" t="s">
        <v>311</v>
      </c>
      <c r="D11" s="166"/>
      <c r="E11" s="166"/>
      <c r="F11" s="166"/>
      <c r="G11" s="166"/>
      <c r="H11" s="166"/>
      <c r="I11" s="166"/>
      <c r="J11" s="170"/>
      <c r="K11" s="170"/>
      <c r="L11" s="170"/>
      <c r="M11" s="170"/>
      <c r="N11" s="170"/>
      <c r="O11" s="170"/>
      <c r="P11" s="170"/>
      <c r="Q11" s="170"/>
      <c r="R11" s="170"/>
      <c r="S11" s="170"/>
    </row>
    <row r="12" spans="2:19" ht="19.5" customHeight="1">
      <c r="B12" s="644"/>
      <c r="C12" s="167" t="s">
        <v>312</v>
      </c>
      <c r="D12" s="168"/>
      <c r="E12" s="168"/>
      <c r="F12" s="168"/>
      <c r="G12" s="168"/>
      <c r="H12" s="168"/>
      <c r="I12" s="168"/>
      <c r="J12" s="168"/>
      <c r="K12" s="171"/>
      <c r="L12" s="171"/>
      <c r="M12" s="171"/>
      <c r="N12" s="171"/>
      <c r="O12" s="171"/>
      <c r="P12" s="171"/>
      <c r="Q12" s="171"/>
      <c r="R12" s="171"/>
      <c r="S12" s="171"/>
    </row>
    <row r="13" spans="2:19" ht="19.5" customHeight="1">
      <c r="B13" s="642"/>
      <c r="C13" s="162" t="s">
        <v>310</v>
      </c>
      <c r="D13" s="163"/>
      <c r="E13" s="163"/>
      <c r="F13" s="163"/>
      <c r="G13" s="163"/>
      <c r="H13" s="164"/>
      <c r="I13" s="164"/>
      <c r="J13" s="169"/>
      <c r="K13" s="169"/>
      <c r="L13" s="169"/>
      <c r="M13" s="169"/>
      <c r="N13" s="169"/>
      <c r="O13" s="169"/>
      <c r="P13" s="169"/>
      <c r="Q13" s="169"/>
      <c r="R13" s="169"/>
      <c r="S13" s="169"/>
    </row>
    <row r="14" spans="2:19" ht="19.5" customHeight="1">
      <c r="B14" s="643"/>
      <c r="C14" s="165" t="s">
        <v>311</v>
      </c>
      <c r="D14" s="166"/>
      <c r="E14" s="166"/>
      <c r="F14" s="166"/>
      <c r="G14" s="166"/>
      <c r="H14" s="166"/>
      <c r="I14" s="166"/>
      <c r="J14" s="170"/>
      <c r="K14" s="170"/>
      <c r="L14" s="170"/>
      <c r="M14" s="170"/>
      <c r="N14" s="170"/>
      <c r="O14" s="170"/>
      <c r="P14" s="170"/>
      <c r="Q14" s="170"/>
      <c r="R14" s="170"/>
      <c r="S14" s="170"/>
    </row>
    <row r="15" spans="2:19" ht="19.5" customHeight="1">
      <c r="B15" s="644"/>
      <c r="C15" s="167" t="s">
        <v>312</v>
      </c>
      <c r="D15" s="168"/>
      <c r="E15" s="168"/>
      <c r="F15" s="168"/>
      <c r="G15" s="168"/>
      <c r="H15" s="168"/>
      <c r="I15" s="168"/>
      <c r="J15" s="168"/>
      <c r="K15" s="171"/>
      <c r="L15" s="171"/>
      <c r="M15" s="171"/>
      <c r="N15" s="171"/>
      <c r="O15" s="171"/>
      <c r="P15" s="171"/>
      <c r="Q15" s="171"/>
      <c r="R15" s="171"/>
      <c r="S15" s="171"/>
    </row>
    <row r="16" spans="2:19" ht="19.5" customHeight="1">
      <c r="B16" s="642"/>
      <c r="C16" s="162" t="s">
        <v>310</v>
      </c>
      <c r="D16" s="163"/>
      <c r="E16" s="163"/>
      <c r="F16" s="163"/>
      <c r="G16" s="163"/>
      <c r="H16" s="164"/>
      <c r="I16" s="164"/>
      <c r="J16" s="169"/>
      <c r="K16" s="169"/>
      <c r="L16" s="169"/>
      <c r="M16" s="169"/>
      <c r="N16" s="169"/>
      <c r="O16" s="169"/>
      <c r="P16" s="169"/>
      <c r="Q16" s="169"/>
      <c r="R16" s="169"/>
      <c r="S16" s="169"/>
    </row>
    <row r="17" spans="2:19" ht="19.5" customHeight="1">
      <c r="B17" s="643"/>
      <c r="C17" s="165" t="s">
        <v>311</v>
      </c>
      <c r="D17" s="166"/>
      <c r="E17" s="166"/>
      <c r="F17" s="166"/>
      <c r="G17" s="166"/>
      <c r="H17" s="166"/>
      <c r="I17" s="166"/>
      <c r="J17" s="170"/>
      <c r="K17" s="170"/>
      <c r="L17" s="170"/>
      <c r="M17" s="170"/>
      <c r="N17" s="170"/>
      <c r="O17" s="170"/>
      <c r="P17" s="170"/>
      <c r="Q17" s="170"/>
      <c r="R17" s="170"/>
      <c r="S17" s="170"/>
    </row>
    <row r="18" spans="2:19" ht="19.5" customHeight="1">
      <c r="B18" s="644"/>
      <c r="C18" s="167" t="s">
        <v>313</v>
      </c>
      <c r="D18" s="168"/>
      <c r="E18" s="168"/>
      <c r="F18" s="168"/>
      <c r="G18" s="168"/>
      <c r="H18" s="168"/>
      <c r="I18" s="168"/>
      <c r="J18" s="168"/>
      <c r="K18" s="171"/>
      <c r="L18" s="171"/>
      <c r="M18" s="171"/>
      <c r="N18" s="171"/>
      <c r="O18" s="171"/>
      <c r="P18" s="171"/>
      <c r="Q18" s="171"/>
      <c r="R18" s="171"/>
      <c r="S18" s="171"/>
    </row>
    <row r="19" spans="2:19" ht="19.5" customHeight="1">
      <c r="B19" s="642"/>
      <c r="C19" s="162" t="s">
        <v>310</v>
      </c>
      <c r="D19" s="163"/>
      <c r="E19" s="163"/>
      <c r="F19" s="163"/>
      <c r="G19" s="163"/>
      <c r="H19" s="164"/>
      <c r="I19" s="164"/>
      <c r="J19" s="169"/>
      <c r="K19" s="169"/>
      <c r="L19" s="169"/>
      <c r="M19" s="169"/>
      <c r="N19" s="169"/>
      <c r="O19" s="169"/>
      <c r="P19" s="169"/>
      <c r="Q19" s="169"/>
      <c r="R19" s="169"/>
      <c r="S19" s="169"/>
    </row>
    <row r="20" spans="2:19" ht="19.5" customHeight="1">
      <c r="B20" s="643"/>
      <c r="C20" s="165" t="s">
        <v>311</v>
      </c>
      <c r="D20" s="166"/>
      <c r="E20" s="166"/>
      <c r="F20" s="166"/>
      <c r="G20" s="166"/>
      <c r="H20" s="166"/>
      <c r="I20" s="166"/>
      <c r="J20" s="170"/>
      <c r="K20" s="170"/>
      <c r="L20" s="170"/>
      <c r="M20" s="170"/>
      <c r="N20" s="170"/>
      <c r="O20" s="170"/>
      <c r="P20" s="170"/>
      <c r="Q20" s="170"/>
      <c r="R20" s="170"/>
      <c r="S20" s="170"/>
    </row>
    <row r="21" spans="2:19" ht="19.5" customHeight="1">
      <c r="B21" s="644"/>
      <c r="C21" s="167" t="s">
        <v>312</v>
      </c>
      <c r="D21" s="168"/>
      <c r="E21" s="168"/>
      <c r="F21" s="168"/>
      <c r="G21" s="168"/>
      <c r="H21" s="168"/>
      <c r="I21" s="168"/>
      <c r="J21" s="168"/>
      <c r="K21" s="171"/>
      <c r="L21" s="171"/>
      <c r="M21" s="171"/>
      <c r="N21" s="171"/>
      <c r="O21" s="171"/>
      <c r="P21" s="171"/>
      <c r="Q21" s="171"/>
      <c r="R21" s="171"/>
      <c r="S21" s="171"/>
    </row>
    <row r="22" spans="2:19" ht="19.5" customHeight="1">
      <c r="B22" s="642"/>
      <c r="C22" s="162" t="s">
        <v>310</v>
      </c>
      <c r="D22" s="163"/>
      <c r="E22" s="163"/>
      <c r="F22" s="163"/>
      <c r="G22" s="163"/>
      <c r="H22" s="164"/>
      <c r="I22" s="164"/>
      <c r="J22" s="169"/>
      <c r="K22" s="169"/>
      <c r="L22" s="169"/>
      <c r="M22" s="169"/>
      <c r="N22" s="169"/>
      <c r="O22" s="169"/>
      <c r="P22" s="169"/>
      <c r="Q22" s="169"/>
      <c r="R22" s="169"/>
      <c r="S22" s="169"/>
    </row>
    <row r="23" spans="2:19" ht="19.5" customHeight="1">
      <c r="B23" s="643"/>
      <c r="C23" s="165" t="s">
        <v>311</v>
      </c>
      <c r="D23" s="166"/>
      <c r="E23" s="166"/>
      <c r="F23" s="166"/>
      <c r="G23" s="166"/>
      <c r="H23" s="166"/>
      <c r="I23" s="166"/>
      <c r="J23" s="170"/>
      <c r="K23" s="170"/>
      <c r="L23" s="170"/>
      <c r="M23" s="170"/>
      <c r="N23" s="170"/>
      <c r="O23" s="170"/>
      <c r="P23" s="170"/>
      <c r="Q23" s="170"/>
      <c r="R23" s="170"/>
      <c r="S23" s="170"/>
    </row>
    <row r="24" spans="2:19" ht="19.5" customHeight="1">
      <c r="B24" s="644"/>
      <c r="C24" s="167" t="s">
        <v>312</v>
      </c>
      <c r="D24" s="168"/>
      <c r="E24" s="168"/>
      <c r="F24" s="168"/>
      <c r="G24" s="168"/>
      <c r="H24" s="168"/>
      <c r="I24" s="168"/>
      <c r="J24" s="168"/>
      <c r="K24" s="171"/>
      <c r="L24" s="171"/>
      <c r="M24" s="171"/>
      <c r="N24" s="171"/>
      <c r="O24" s="171"/>
      <c r="P24" s="171"/>
      <c r="Q24" s="171"/>
      <c r="R24" s="171"/>
      <c r="S24" s="171"/>
    </row>
    <row r="25" spans="2:19" ht="19.5" customHeight="1">
      <c r="B25" s="642"/>
      <c r="C25" s="162" t="s">
        <v>310</v>
      </c>
      <c r="D25" s="163"/>
      <c r="E25" s="163"/>
      <c r="F25" s="163"/>
      <c r="G25" s="163"/>
      <c r="H25" s="164"/>
      <c r="I25" s="164"/>
      <c r="J25" s="169"/>
      <c r="K25" s="169"/>
      <c r="L25" s="169"/>
      <c r="M25" s="169"/>
      <c r="N25" s="169"/>
      <c r="O25" s="169"/>
      <c r="P25" s="169"/>
      <c r="Q25" s="169"/>
      <c r="R25" s="169"/>
      <c r="S25" s="169"/>
    </row>
    <row r="26" spans="2:19" ht="19.5" customHeight="1">
      <c r="B26" s="643"/>
      <c r="C26" s="165" t="s">
        <v>311</v>
      </c>
      <c r="D26" s="166"/>
      <c r="E26" s="166"/>
      <c r="F26" s="166"/>
      <c r="G26" s="166"/>
      <c r="H26" s="166"/>
      <c r="I26" s="166"/>
      <c r="J26" s="170"/>
      <c r="K26" s="170"/>
      <c r="L26" s="170"/>
      <c r="M26" s="170"/>
      <c r="N26" s="170"/>
      <c r="O26" s="170"/>
      <c r="P26" s="170"/>
      <c r="Q26" s="170"/>
      <c r="R26" s="170"/>
      <c r="S26" s="170"/>
    </row>
    <row r="27" spans="2:19" ht="19.5" customHeight="1">
      <c r="B27" s="644"/>
      <c r="C27" s="167" t="s">
        <v>312</v>
      </c>
      <c r="D27" s="168"/>
      <c r="E27" s="168"/>
      <c r="F27" s="168"/>
      <c r="G27" s="168"/>
      <c r="H27" s="168"/>
      <c r="I27" s="168"/>
      <c r="J27" s="168"/>
      <c r="K27" s="171"/>
      <c r="L27" s="171"/>
      <c r="M27" s="171"/>
      <c r="N27" s="171"/>
      <c r="O27" s="171"/>
      <c r="P27" s="171"/>
      <c r="Q27" s="171"/>
      <c r="R27" s="171"/>
      <c r="S27" s="171"/>
    </row>
    <row r="28" spans="2:19" ht="19.5" customHeight="1">
      <c r="B28" s="642"/>
      <c r="C28" s="162" t="s">
        <v>310</v>
      </c>
      <c r="D28" s="163"/>
      <c r="E28" s="163"/>
      <c r="F28" s="163"/>
      <c r="G28" s="163"/>
      <c r="H28" s="164"/>
      <c r="I28" s="164"/>
      <c r="J28" s="169"/>
      <c r="K28" s="169"/>
      <c r="L28" s="169"/>
      <c r="M28" s="169"/>
      <c r="N28" s="169"/>
      <c r="O28" s="169"/>
      <c r="P28" s="169"/>
      <c r="Q28" s="169"/>
      <c r="R28" s="169"/>
      <c r="S28" s="169"/>
    </row>
    <row r="29" spans="2:19" ht="19.5" customHeight="1">
      <c r="B29" s="643"/>
      <c r="C29" s="165" t="s">
        <v>311</v>
      </c>
      <c r="D29" s="166"/>
      <c r="E29" s="166"/>
      <c r="F29" s="166"/>
      <c r="G29" s="166"/>
      <c r="H29" s="166"/>
      <c r="I29" s="166"/>
      <c r="J29" s="170"/>
      <c r="K29" s="170"/>
      <c r="L29" s="170"/>
      <c r="M29" s="170"/>
      <c r="N29" s="170"/>
      <c r="O29" s="170"/>
      <c r="P29" s="170"/>
      <c r="Q29" s="170"/>
      <c r="R29" s="170"/>
      <c r="S29" s="170"/>
    </row>
    <row r="30" spans="2:19" ht="19.5" customHeight="1">
      <c r="B30" s="644"/>
      <c r="C30" s="167" t="s">
        <v>312</v>
      </c>
      <c r="D30" s="168"/>
      <c r="E30" s="168"/>
      <c r="F30" s="168"/>
      <c r="G30" s="168"/>
      <c r="H30" s="168"/>
      <c r="I30" s="168"/>
      <c r="J30" s="168"/>
      <c r="K30" s="171"/>
      <c r="L30" s="171"/>
      <c r="M30" s="171"/>
      <c r="N30" s="171"/>
      <c r="O30" s="171"/>
      <c r="P30" s="171"/>
      <c r="Q30" s="171"/>
      <c r="R30" s="171"/>
      <c r="S30" s="171"/>
    </row>
    <row r="31" spans="2:19" ht="19.5" customHeight="1">
      <c r="B31" s="642"/>
      <c r="C31" s="162" t="s">
        <v>310</v>
      </c>
      <c r="D31" s="163"/>
      <c r="E31" s="163"/>
      <c r="F31" s="163"/>
      <c r="G31" s="163"/>
      <c r="H31" s="164"/>
      <c r="I31" s="164"/>
      <c r="J31" s="169"/>
      <c r="K31" s="169"/>
      <c r="L31" s="169"/>
      <c r="M31" s="169"/>
      <c r="N31" s="169"/>
      <c r="O31" s="169"/>
      <c r="P31" s="169"/>
      <c r="Q31" s="169"/>
      <c r="R31" s="169"/>
      <c r="S31" s="169"/>
    </row>
    <row r="32" spans="2:19" ht="19.5" customHeight="1">
      <c r="B32" s="643"/>
      <c r="C32" s="165" t="s">
        <v>311</v>
      </c>
      <c r="D32" s="166"/>
      <c r="E32" s="166"/>
      <c r="F32" s="166"/>
      <c r="G32" s="166"/>
      <c r="H32" s="166"/>
      <c r="I32" s="166"/>
      <c r="J32" s="170"/>
      <c r="K32" s="170"/>
      <c r="L32" s="170"/>
      <c r="M32" s="170"/>
      <c r="N32" s="170"/>
      <c r="O32" s="170"/>
      <c r="P32" s="170"/>
      <c r="Q32" s="170"/>
      <c r="R32" s="170"/>
      <c r="S32" s="170"/>
    </row>
    <row r="33" spans="2:19" ht="19.5" customHeight="1">
      <c r="B33" s="644"/>
      <c r="C33" s="167" t="s">
        <v>312</v>
      </c>
      <c r="D33" s="168"/>
      <c r="E33" s="168"/>
      <c r="F33" s="168"/>
      <c r="G33" s="168"/>
      <c r="H33" s="168"/>
      <c r="I33" s="168"/>
      <c r="J33" s="168"/>
      <c r="K33" s="171"/>
      <c r="L33" s="171"/>
      <c r="M33" s="171"/>
      <c r="N33" s="171"/>
      <c r="O33" s="171"/>
      <c r="P33" s="171"/>
      <c r="Q33" s="171"/>
      <c r="R33" s="171"/>
      <c r="S33" s="171"/>
    </row>
    <row r="34" spans="2:19" ht="19.5" customHeight="1">
      <c r="B34" s="642"/>
      <c r="C34" s="162" t="s">
        <v>310</v>
      </c>
      <c r="D34" s="163"/>
      <c r="E34" s="163"/>
      <c r="F34" s="163"/>
      <c r="G34" s="163"/>
      <c r="H34" s="164"/>
      <c r="I34" s="164"/>
      <c r="J34" s="169"/>
      <c r="K34" s="169"/>
      <c r="L34" s="169"/>
      <c r="M34" s="169"/>
      <c r="N34" s="169"/>
      <c r="O34" s="169"/>
      <c r="P34" s="169"/>
      <c r="Q34" s="169"/>
      <c r="R34" s="169"/>
      <c r="S34" s="169"/>
    </row>
    <row r="35" spans="2:19" ht="19.5" customHeight="1">
      <c r="B35" s="643"/>
      <c r="C35" s="165" t="s">
        <v>311</v>
      </c>
      <c r="D35" s="166"/>
      <c r="E35" s="166"/>
      <c r="F35" s="166"/>
      <c r="G35" s="166"/>
      <c r="H35" s="166"/>
      <c r="I35" s="166"/>
      <c r="J35" s="170"/>
      <c r="K35" s="170"/>
      <c r="L35" s="170"/>
      <c r="M35" s="170"/>
      <c r="N35" s="170"/>
      <c r="O35" s="170"/>
      <c r="P35" s="170"/>
      <c r="Q35" s="170"/>
      <c r="R35" s="170"/>
      <c r="S35" s="170"/>
    </row>
    <row r="36" spans="2:19" ht="19.5" customHeight="1">
      <c r="B36" s="644"/>
      <c r="C36" s="167" t="s">
        <v>312</v>
      </c>
      <c r="D36" s="168"/>
      <c r="E36" s="168"/>
      <c r="F36" s="168"/>
      <c r="G36" s="168"/>
      <c r="H36" s="168"/>
      <c r="I36" s="168"/>
      <c r="J36" s="168"/>
      <c r="K36" s="171"/>
      <c r="L36" s="171"/>
      <c r="M36" s="171"/>
      <c r="N36" s="171"/>
      <c r="O36" s="171"/>
      <c r="P36" s="171"/>
      <c r="Q36" s="171"/>
      <c r="R36" s="171"/>
      <c r="S36" s="171"/>
    </row>
    <row r="37" spans="2:19" ht="19.5" customHeight="1">
      <c r="B37" s="642"/>
      <c r="C37" s="162" t="s">
        <v>310</v>
      </c>
      <c r="D37" s="163"/>
      <c r="E37" s="163"/>
      <c r="F37" s="163"/>
      <c r="G37" s="163"/>
      <c r="H37" s="164"/>
      <c r="I37" s="164"/>
      <c r="J37" s="169"/>
      <c r="K37" s="169"/>
      <c r="L37" s="169"/>
      <c r="M37" s="169"/>
      <c r="N37" s="169"/>
      <c r="O37" s="169"/>
      <c r="P37" s="169"/>
      <c r="Q37" s="169"/>
      <c r="R37" s="169"/>
      <c r="S37" s="169"/>
    </row>
    <row r="38" spans="2:19" ht="19.5" customHeight="1">
      <c r="B38" s="643"/>
      <c r="C38" s="165" t="s">
        <v>311</v>
      </c>
      <c r="D38" s="166"/>
      <c r="E38" s="166"/>
      <c r="F38" s="166"/>
      <c r="G38" s="166"/>
      <c r="H38" s="166"/>
      <c r="I38" s="166"/>
      <c r="J38" s="170"/>
      <c r="K38" s="170"/>
      <c r="L38" s="170"/>
      <c r="M38" s="170"/>
      <c r="N38" s="170"/>
      <c r="O38" s="170"/>
      <c r="P38" s="170"/>
      <c r="Q38" s="170"/>
      <c r="R38" s="170"/>
      <c r="S38" s="170"/>
    </row>
    <row r="39" spans="2:19" ht="19.5" customHeight="1">
      <c r="B39" s="644"/>
      <c r="C39" s="167" t="s">
        <v>312</v>
      </c>
      <c r="D39" s="168"/>
      <c r="E39" s="168"/>
      <c r="F39" s="168"/>
      <c r="G39" s="168"/>
      <c r="H39" s="168"/>
      <c r="I39" s="168"/>
      <c r="J39" s="168"/>
      <c r="K39" s="171"/>
      <c r="L39" s="171"/>
      <c r="M39" s="171"/>
      <c r="N39" s="171"/>
      <c r="O39" s="171"/>
      <c r="P39" s="171"/>
      <c r="Q39" s="171"/>
      <c r="R39" s="171"/>
      <c r="S39" s="171"/>
    </row>
    <row r="40" spans="2:19" ht="15.75" customHeight="1">
      <c r="B40" s="58" t="s">
        <v>314</v>
      </c>
      <c r="C40" s="58"/>
      <c r="D40" s="58"/>
      <c r="E40" s="58"/>
      <c r="F40" s="58"/>
      <c r="G40" s="58"/>
      <c r="H40" s="58"/>
      <c r="I40" s="58"/>
      <c r="J40" s="58"/>
      <c r="K40" s="58"/>
      <c r="L40" s="58"/>
      <c r="M40" s="58"/>
      <c r="N40" s="58"/>
      <c r="O40" s="58"/>
      <c r="P40" s="58"/>
      <c r="Q40" s="58"/>
      <c r="R40" s="58"/>
      <c r="S40" s="58"/>
    </row>
    <row r="41" spans="2:19" ht="15.75" customHeight="1">
      <c r="B41" s="58"/>
      <c r="C41" s="58"/>
      <c r="D41" s="58"/>
      <c r="E41" s="58"/>
      <c r="F41" s="58"/>
      <c r="G41" s="58"/>
      <c r="H41" s="58"/>
      <c r="I41" s="58"/>
      <c r="J41" s="58"/>
      <c r="K41" s="58"/>
      <c r="L41" s="58"/>
      <c r="M41" s="58"/>
      <c r="N41" s="58"/>
      <c r="O41" s="58"/>
      <c r="P41" s="58"/>
      <c r="Q41" s="58"/>
      <c r="R41" s="58"/>
      <c r="S41" s="58"/>
    </row>
    <row r="42" spans="2:19" s="157" customFormat="1" ht="16.5" customHeight="1">
      <c r="B42" s="622" t="s">
        <v>40</v>
      </c>
      <c r="C42" s="623"/>
      <c r="D42" s="624"/>
      <c r="E42" s="625" t="s">
        <v>41</v>
      </c>
      <c r="F42" s="625"/>
      <c r="G42" s="625"/>
      <c r="H42" s="625"/>
      <c r="I42" s="625"/>
      <c r="J42" s="625"/>
      <c r="K42" s="625"/>
      <c r="L42" s="625"/>
      <c r="M42" s="625"/>
      <c r="N42" s="625"/>
      <c r="O42" s="625"/>
      <c r="P42" s="626" t="s">
        <v>42</v>
      </c>
      <c r="Q42" s="627"/>
      <c r="R42" s="627"/>
      <c r="S42" s="628"/>
    </row>
    <row r="43" spans="2:19" ht="16.5" customHeight="1">
      <c r="B43" s="629" t="s">
        <v>43</v>
      </c>
      <c r="C43" s="630"/>
      <c r="D43" s="631"/>
      <c r="E43" s="632"/>
      <c r="F43" s="633"/>
      <c r="G43" s="633"/>
      <c r="H43" s="633"/>
      <c r="I43" s="633"/>
      <c r="J43" s="633"/>
      <c r="K43" s="633"/>
      <c r="L43" s="633"/>
      <c r="M43" s="633"/>
      <c r="N43" s="633"/>
      <c r="O43" s="634"/>
      <c r="P43" s="635"/>
      <c r="Q43" s="636"/>
      <c r="R43" s="636"/>
      <c r="S43" s="637"/>
    </row>
    <row r="44" spans="2:19" ht="16.5" customHeight="1">
      <c r="B44" s="629" t="s">
        <v>315</v>
      </c>
      <c r="C44" s="630"/>
      <c r="D44" s="631"/>
      <c r="E44" s="638"/>
      <c r="F44" s="636"/>
      <c r="G44" s="636"/>
      <c r="H44" s="636"/>
      <c r="I44" s="636"/>
      <c r="J44" s="636"/>
      <c r="K44" s="636"/>
      <c r="L44" s="636"/>
      <c r="M44" s="636"/>
      <c r="N44" s="636"/>
      <c r="O44" s="639"/>
      <c r="P44" s="635"/>
      <c r="Q44" s="636"/>
      <c r="R44" s="636"/>
      <c r="S44" s="637"/>
    </row>
    <row r="45" spans="2:19" ht="16.5" customHeight="1">
      <c r="B45" s="629" t="s">
        <v>46</v>
      </c>
      <c r="C45" s="630"/>
      <c r="D45" s="631"/>
      <c r="E45" s="638"/>
      <c r="F45" s="636"/>
      <c r="G45" s="636"/>
      <c r="H45" s="636"/>
      <c r="I45" s="636"/>
      <c r="J45" s="636"/>
      <c r="K45" s="636"/>
      <c r="L45" s="636"/>
      <c r="M45" s="636"/>
      <c r="N45" s="636"/>
      <c r="O45" s="639"/>
      <c r="P45" s="635"/>
      <c r="Q45" s="636"/>
      <c r="R45" s="636"/>
      <c r="S45" s="637"/>
    </row>
    <row r="46" spans="2:19">
      <c r="B46" s="58"/>
      <c r="C46" s="58"/>
      <c r="D46" s="58"/>
      <c r="E46" s="58"/>
      <c r="F46" s="58"/>
      <c r="G46" s="58"/>
      <c r="H46" s="58"/>
      <c r="I46" s="58"/>
      <c r="J46" s="58"/>
      <c r="K46" s="58"/>
      <c r="L46" s="58"/>
      <c r="M46" s="58"/>
      <c r="N46" s="58"/>
      <c r="O46" s="58"/>
      <c r="P46" s="66" t="s">
        <v>47</v>
      </c>
      <c r="Q46" s="58"/>
      <c r="R46" s="58"/>
      <c r="S46" s="58"/>
    </row>
    <row r="47" spans="2:19" ht="15.75" customHeight="1">
      <c r="B47" s="41"/>
      <c r="C47" s="41"/>
      <c r="D47" s="41"/>
      <c r="E47" s="41"/>
      <c r="F47" s="41"/>
      <c r="G47" s="41"/>
      <c r="H47" s="41"/>
      <c r="I47" s="41"/>
      <c r="J47" s="41"/>
      <c r="K47" s="41"/>
      <c r="L47" s="41"/>
      <c r="M47" s="41"/>
      <c r="N47" s="41"/>
      <c r="O47" s="41"/>
      <c r="P47" s="41"/>
      <c r="Q47" s="41"/>
      <c r="R47" s="41"/>
      <c r="S47" s="41"/>
    </row>
    <row r="48" spans="2:1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sheetData>
  <mergeCells count="34">
    <mergeCell ref="B45:D45"/>
    <mergeCell ref="E45:O45"/>
    <mergeCell ref="P45:S45"/>
    <mergeCell ref="B8:B9"/>
    <mergeCell ref="B10:B12"/>
    <mergeCell ref="B13:B15"/>
    <mergeCell ref="B16:B18"/>
    <mergeCell ref="B19:B21"/>
    <mergeCell ref="B22:B24"/>
    <mergeCell ref="B25:B27"/>
    <mergeCell ref="B28:B30"/>
    <mergeCell ref="B31:B33"/>
    <mergeCell ref="B34:B36"/>
    <mergeCell ref="B37:B39"/>
    <mergeCell ref="C8:C9"/>
    <mergeCell ref="G8:G9"/>
    <mergeCell ref="B43:D43"/>
    <mergeCell ref="E43:O43"/>
    <mergeCell ref="P43:S43"/>
    <mergeCell ref="B44:D44"/>
    <mergeCell ref="E44:O44"/>
    <mergeCell ref="P44:S44"/>
    <mergeCell ref="B3:S3"/>
    <mergeCell ref="B4:S4"/>
    <mergeCell ref="D8:F8"/>
    <mergeCell ref="H8:S8"/>
    <mergeCell ref="B42:D42"/>
    <mergeCell ref="E42:O42"/>
    <mergeCell ref="P42:S42"/>
    <mergeCell ref="I1:N1"/>
    <mergeCell ref="O1:S1"/>
    <mergeCell ref="B2:H2"/>
    <mergeCell ref="I2:N2"/>
    <mergeCell ref="O2:S2"/>
  </mergeCells>
  <pageMargins left="0.70866141732283505" right="0.70866141732283505" top="0.74803149606299202" bottom="0.74803149606299202" header="0" footer="0"/>
  <pageSetup scale="43"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7"/>
  </sheetPr>
  <dimension ref="B2:S103"/>
  <sheetViews>
    <sheetView showGridLines="0" zoomScaleSheetLayoutView="80" workbookViewId="0"/>
  </sheetViews>
  <sheetFormatPr baseColWidth="10" defaultColWidth="14.42578125" defaultRowHeight="15" customHeight="1"/>
  <cols>
    <col min="1" max="1" width="6" style="41" customWidth="1"/>
    <col min="2" max="2" width="34.28515625" style="41" customWidth="1"/>
    <col min="3" max="3" width="18.7109375" style="41" customWidth="1"/>
    <col min="4" max="6" width="15.28515625" style="41" customWidth="1"/>
    <col min="7" max="7" width="19.7109375" style="41" customWidth="1"/>
    <col min="8" max="19" width="15.28515625" style="41" customWidth="1"/>
    <col min="20" max="16384" width="14.42578125" style="41"/>
  </cols>
  <sheetData>
    <row r="2" spans="2:19" ht="16.5">
      <c r="B2" s="40" t="s">
        <v>316</v>
      </c>
    </row>
    <row r="4" spans="2:19" ht="20.25">
      <c r="B4" s="614" t="s">
        <v>317</v>
      </c>
      <c r="C4" s="615"/>
      <c r="D4" s="615"/>
      <c r="E4" s="615"/>
      <c r="F4" s="615"/>
      <c r="G4" s="615"/>
      <c r="H4" s="615"/>
      <c r="I4" s="615"/>
      <c r="J4" s="615"/>
      <c r="K4" s="615"/>
      <c r="L4" s="615"/>
      <c r="M4" s="615"/>
      <c r="N4" s="615"/>
      <c r="O4" s="615"/>
      <c r="P4" s="615"/>
      <c r="Q4" s="615"/>
      <c r="R4" s="615"/>
      <c r="S4" s="615"/>
    </row>
    <row r="5" spans="2:19" ht="20.25">
      <c r="B5" s="616" t="s">
        <v>318</v>
      </c>
      <c r="C5" s="615"/>
      <c r="D5" s="615"/>
      <c r="E5" s="615"/>
      <c r="F5" s="615"/>
      <c r="G5" s="615"/>
      <c r="H5" s="615"/>
      <c r="I5" s="615"/>
      <c r="J5" s="615"/>
      <c r="K5" s="615"/>
      <c r="L5" s="615"/>
      <c r="M5" s="615"/>
      <c r="N5" s="615"/>
      <c r="O5" s="615"/>
      <c r="P5" s="615"/>
      <c r="Q5" s="615"/>
      <c r="R5" s="615"/>
      <c r="S5" s="615"/>
    </row>
    <row r="6" spans="2:19" ht="18" customHeight="1">
      <c r="B6" s="142" t="s">
        <v>2</v>
      </c>
      <c r="C6" s="46"/>
      <c r="D6" s="47"/>
      <c r="E6" s="42"/>
      <c r="F6" s="42"/>
      <c r="G6" s="42"/>
      <c r="H6" s="42"/>
      <c r="I6" s="42"/>
      <c r="J6" s="42"/>
      <c r="K6" s="42"/>
      <c r="L6" s="42"/>
      <c r="M6" s="42"/>
      <c r="N6" s="42"/>
      <c r="O6" s="42"/>
      <c r="P6" s="42"/>
      <c r="Q6" s="42"/>
      <c r="R6" s="42"/>
      <c r="S6" s="42"/>
    </row>
    <row r="7" spans="2:19" ht="18" customHeight="1">
      <c r="B7" s="142" t="s">
        <v>3</v>
      </c>
      <c r="C7" s="46"/>
      <c r="D7" s="47"/>
    </row>
    <row r="8" spans="2:19" ht="24">
      <c r="B8" s="143"/>
    </row>
    <row r="9" spans="2:19" s="141" customFormat="1" ht="21.75" customHeight="1">
      <c r="B9" s="640" t="s">
        <v>291</v>
      </c>
      <c r="C9" s="617" t="s">
        <v>292</v>
      </c>
      <c r="D9" s="648">
        <v>2025</v>
      </c>
      <c r="E9" s="649"/>
      <c r="F9" s="649"/>
      <c r="G9" s="617" t="s">
        <v>294</v>
      </c>
      <c r="H9" s="648">
        <v>2026</v>
      </c>
      <c r="I9" s="649"/>
      <c r="J9" s="649"/>
      <c r="K9" s="649"/>
      <c r="L9" s="649"/>
      <c r="M9" s="649"/>
      <c r="N9" s="649"/>
      <c r="O9" s="649"/>
      <c r="P9" s="649"/>
      <c r="Q9" s="649"/>
      <c r="R9" s="649"/>
      <c r="S9" s="650"/>
    </row>
    <row r="10" spans="2:19" ht="55.5" customHeight="1">
      <c r="B10" s="657"/>
      <c r="C10" s="663"/>
      <c r="D10" s="48" t="s">
        <v>319</v>
      </c>
      <c r="E10" s="48" t="s">
        <v>320</v>
      </c>
      <c r="F10" s="48" t="s">
        <v>321</v>
      </c>
      <c r="G10" s="663"/>
      <c r="H10" s="48" t="s">
        <v>298</v>
      </c>
      <c r="I10" s="48" t="s">
        <v>299</v>
      </c>
      <c r="J10" s="48" t="s">
        <v>300</v>
      </c>
      <c r="K10" s="48" t="s">
        <v>301</v>
      </c>
      <c r="L10" s="48" t="s">
        <v>302</v>
      </c>
      <c r="M10" s="48" t="s">
        <v>303</v>
      </c>
      <c r="N10" s="48" t="s">
        <v>304</v>
      </c>
      <c r="O10" s="48" t="s">
        <v>305</v>
      </c>
      <c r="P10" s="48" t="s">
        <v>306</v>
      </c>
      <c r="Q10" s="48" t="s">
        <v>307</v>
      </c>
      <c r="R10" s="48" t="s">
        <v>308</v>
      </c>
      <c r="S10" s="62" t="s">
        <v>309</v>
      </c>
    </row>
    <row r="11" spans="2:19" ht="16.5">
      <c r="B11" s="658"/>
      <c r="C11" s="144" t="s">
        <v>322</v>
      </c>
      <c r="D11" s="145"/>
      <c r="E11" s="145"/>
      <c r="F11" s="145"/>
      <c r="G11" s="145"/>
      <c r="H11" s="145"/>
      <c r="I11" s="145"/>
      <c r="J11" s="145"/>
      <c r="K11" s="145"/>
      <c r="L11" s="145"/>
      <c r="M11" s="145"/>
      <c r="N11" s="145"/>
      <c r="O11" s="145"/>
      <c r="P11" s="145"/>
      <c r="Q11" s="145"/>
      <c r="R11" s="145"/>
      <c r="S11" s="152"/>
    </row>
    <row r="12" spans="2:19" ht="16.5">
      <c r="B12" s="659"/>
      <c r="C12" s="146" t="s">
        <v>323</v>
      </c>
      <c r="D12" s="147"/>
      <c r="E12" s="147"/>
      <c r="F12" s="147"/>
      <c r="G12" s="147"/>
      <c r="H12" s="147"/>
      <c r="I12" s="147"/>
      <c r="J12" s="147"/>
      <c r="K12" s="147"/>
      <c r="L12" s="147"/>
      <c r="M12" s="147"/>
      <c r="N12" s="147"/>
      <c r="O12" s="147"/>
      <c r="P12" s="147"/>
      <c r="Q12" s="147"/>
      <c r="R12" s="147"/>
      <c r="S12" s="153"/>
    </row>
    <row r="13" spans="2:19" ht="16.5">
      <c r="B13" s="658"/>
      <c r="C13" s="144" t="s">
        <v>322</v>
      </c>
      <c r="D13" s="145"/>
      <c r="E13" s="145"/>
      <c r="F13" s="145"/>
      <c r="G13" s="145"/>
      <c r="H13" s="145"/>
      <c r="I13" s="145"/>
      <c r="J13" s="145"/>
      <c r="K13" s="145"/>
      <c r="L13" s="145"/>
      <c r="M13" s="145"/>
      <c r="N13" s="145"/>
      <c r="O13" s="145"/>
      <c r="P13" s="145"/>
      <c r="Q13" s="145"/>
      <c r="R13" s="145"/>
      <c r="S13" s="152"/>
    </row>
    <row r="14" spans="2:19" ht="16.5">
      <c r="B14" s="659"/>
      <c r="C14" s="146" t="s">
        <v>323</v>
      </c>
      <c r="D14" s="147"/>
      <c r="E14" s="147"/>
      <c r="F14" s="147"/>
      <c r="G14" s="147"/>
      <c r="H14" s="147"/>
      <c r="I14" s="147"/>
      <c r="J14" s="147"/>
      <c r="K14" s="147"/>
      <c r="L14" s="147"/>
      <c r="M14" s="147"/>
      <c r="N14" s="147"/>
      <c r="O14" s="147"/>
      <c r="P14" s="147"/>
      <c r="Q14" s="147"/>
      <c r="R14" s="147"/>
      <c r="S14" s="153"/>
    </row>
    <row r="15" spans="2:19" ht="16.5">
      <c r="B15" s="658"/>
      <c r="C15" s="144" t="s">
        <v>322</v>
      </c>
      <c r="D15" s="145"/>
      <c r="E15" s="145"/>
      <c r="F15" s="145"/>
      <c r="G15" s="145"/>
      <c r="H15" s="145"/>
      <c r="I15" s="145"/>
      <c r="J15" s="145"/>
      <c r="K15" s="145"/>
      <c r="L15" s="145"/>
      <c r="M15" s="145"/>
      <c r="N15" s="145"/>
      <c r="O15" s="145"/>
      <c r="P15" s="145"/>
      <c r="Q15" s="145"/>
      <c r="R15" s="145"/>
      <c r="S15" s="152"/>
    </row>
    <row r="16" spans="2:19" ht="16.5">
      <c r="B16" s="659"/>
      <c r="C16" s="146" t="s">
        <v>323</v>
      </c>
      <c r="D16" s="147"/>
      <c r="E16" s="147"/>
      <c r="F16" s="147"/>
      <c r="G16" s="147"/>
      <c r="H16" s="147"/>
      <c r="I16" s="147"/>
      <c r="J16" s="147"/>
      <c r="K16" s="147"/>
      <c r="L16" s="147"/>
      <c r="M16" s="147"/>
      <c r="N16" s="147"/>
      <c r="O16" s="147"/>
      <c r="P16" s="147"/>
      <c r="Q16" s="147"/>
      <c r="R16" s="147"/>
      <c r="S16" s="153"/>
    </row>
    <row r="17" spans="2:19" ht="16.5">
      <c r="B17" s="658"/>
      <c r="C17" s="144" t="s">
        <v>322</v>
      </c>
      <c r="D17" s="145"/>
      <c r="E17" s="145"/>
      <c r="F17" s="145"/>
      <c r="G17" s="145"/>
      <c r="H17" s="145"/>
      <c r="I17" s="145"/>
      <c r="J17" s="145"/>
      <c r="K17" s="145"/>
      <c r="L17" s="145"/>
      <c r="M17" s="145"/>
      <c r="N17" s="145"/>
      <c r="O17" s="145"/>
      <c r="P17" s="145"/>
      <c r="Q17" s="145"/>
      <c r="R17" s="145"/>
      <c r="S17" s="152"/>
    </row>
    <row r="18" spans="2:19" ht="16.5">
      <c r="B18" s="659"/>
      <c r="C18" s="146" t="s">
        <v>323</v>
      </c>
      <c r="D18" s="147"/>
      <c r="E18" s="147"/>
      <c r="F18" s="147"/>
      <c r="G18" s="147"/>
      <c r="H18" s="147"/>
      <c r="I18" s="147"/>
      <c r="J18" s="147"/>
      <c r="K18" s="147"/>
      <c r="L18" s="147"/>
      <c r="M18" s="147"/>
      <c r="N18" s="147"/>
      <c r="O18" s="147"/>
      <c r="P18" s="147"/>
      <c r="Q18" s="147"/>
      <c r="R18" s="147"/>
      <c r="S18" s="153"/>
    </row>
    <row r="19" spans="2:19" ht="16.5">
      <c r="B19" s="658"/>
      <c r="C19" s="144" t="s">
        <v>322</v>
      </c>
      <c r="D19" s="145"/>
      <c r="E19" s="145"/>
      <c r="F19" s="145"/>
      <c r="G19" s="145"/>
      <c r="H19" s="145"/>
      <c r="I19" s="145"/>
      <c r="J19" s="145"/>
      <c r="K19" s="145"/>
      <c r="L19" s="145"/>
      <c r="M19" s="145"/>
      <c r="N19" s="145"/>
      <c r="O19" s="145"/>
      <c r="P19" s="145"/>
      <c r="Q19" s="145"/>
      <c r="R19" s="145"/>
      <c r="S19" s="152"/>
    </row>
    <row r="20" spans="2:19" ht="16.5">
      <c r="B20" s="659"/>
      <c r="C20" s="146" t="s">
        <v>323</v>
      </c>
      <c r="D20" s="147"/>
      <c r="E20" s="147"/>
      <c r="F20" s="147"/>
      <c r="G20" s="147"/>
      <c r="H20" s="147"/>
      <c r="I20" s="147"/>
      <c r="J20" s="147"/>
      <c r="K20" s="147"/>
      <c r="L20" s="147"/>
      <c r="M20" s="147"/>
      <c r="N20" s="147"/>
      <c r="O20" s="147"/>
      <c r="P20" s="147"/>
      <c r="Q20" s="147"/>
      <c r="R20" s="147"/>
      <c r="S20" s="153"/>
    </row>
    <row r="21" spans="2:19" ht="16.5">
      <c r="B21" s="658"/>
      <c r="C21" s="144" t="s">
        <v>322</v>
      </c>
      <c r="D21" s="145"/>
      <c r="E21" s="145"/>
      <c r="F21" s="145"/>
      <c r="G21" s="145"/>
      <c r="H21" s="145"/>
      <c r="I21" s="145"/>
      <c r="J21" s="145"/>
      <c r="K21" s="145"/>
      <c r="L21" s="145"/>
      <c r="M21" s="145"/>
      <c r="N21" s="145"/>
      <c r="O21" s="145"/>
      <c r="P21" s="145"/>
      <c r="Q21" s="145"/>
      <c r="R21" s="145"/>
      <c r="S21" s="152"/>
    </row>
    <row r="22" spans="2:19" ht="16.5">
      <c r="B22" s="659"/>
      <c r="C22" s="146" t="s">
        <v>323</v>
      </c>
      <c r="D22" s="147"/>
      <c r="E22" s="147"/>
      <c r="F22" s="147"/>
      <c r="G22" s="147"/>
      <c r="H22" s="147"/>
      <c r="I22" s="147"/>
      <c r="J22" s="147"/>
      <c r="K22" s="147"/>
      <c r="L22" s="147"/>
      <c r="M22" s="147"/>
      <c r="N22" s="147"/>
      <c r="O22" s="147"/>
      <c r="P22" s="147"/>
      <c r="Q22" s="147"/>
      <c r="R22" s="147"/>
      <c r="S22" s="153"/>
    </row>
    <row r="23" spans="2:19" ht="16.5">
      <c r="B23" s="658"/>
      <c r="C23" s="144" t="s">
        <v>322</v>
      </c>
      <c r="D23" s="145"/>
      <c r="E23" s="145"/>
      <c r="F23" s="145"/>
      <c r="G23" s="145"/>
      <c r="H23" s="145"/>
      <c r="I23" s="145"/>
      <c r="J23" s="145"/>
      <c r="K23" s="145"/>
      <c r="L23" s="145"/>
      <c r="M23" s="145"/>
      <c r="N23" s="145"/>
      <c r="O23" s="145"/>
      <c r="P23" s="145"/>
      <c r="Q23" s="145"/>
      <c r="R23" s="145"/>
      <c r="S23" s="152"/>
    </row>
    <row r="24" spans="2:19" ht="16.5">
      <c r="B24" s="659"/>
      <c r="C24" s="146" t="s">
        <v>323</v>
      </c>
      <c r="D24" s="147"/>
      <c r="E24" s="147"/>
      <c r="F24" s="147"/>
      <c r="G24" s="147"/>
      <c r="H24" s="147"/>
      <c r="I24" s="147"/>
      <c r="J24" s="147"/>
      <c r="K24" s="147"/>
      <c r="L24" s="147"/>
      <c r="M24" s="147"/>
      <c r="N24" s="147"/>
      <c r="O24" s="147"/>
      <c r="P24" s="147"/>
      <c r="Q24" s="147"/>
      <c r="R24" s="147"/>
      <c r="S24" s="153"/>
    </row>
    <row r="25" spans="2:19" ht="16.5">
      <c r="B25" s="658"/>
      <c r="C25" s="144" t="s">
        <v>322</v>
      </c>
      <c r="D25" s="145"/>
      <c r="E25" s="145"/>
      <c r="F25" s="145"/>
      <c r="G25" s="145"/>
      <c r="H25" s="145"/>
      <c r="I25" s="145"/>
      <c r="J25" s="145"/>
      <c r="K25" s="145"/>
      <c r="L25" s="145"/>
      <c r="M25" s="145"/>
      <c r="N25" s="145"/>
      <c r="O25" s="145"/>
      <c r="P25" s="145"/>
      <c r="Q25" s="145"/>
      <c r="R25" s="145"/>
      <c r="S25" s="152"/>
    </row>
    <row r="26" spans="2:19" ht="16.5">
      <c r="B26" s="659"/>
      <c r="C26" s="146" t="s">
        <v>323</v>
      </c>
      <c r="D26" s="147"/>
      <c r="E26" s="147"/>
      <c r="F26" s="147"/>
      <c r="G26" s="147"/>
      <c r="H26" s="147"/>
      <c r="I26" s="147"/>
      <c r="J26" s="147"/>
      <c r="K26" s="147"/>
      <c r="L26" s="147"/>
      <c r="M26" s="147"/>
      <c r="N26" s="147"/>
      <c r="O26" s="147"/>
      <c r="P26" s="147"/>
      <c r="Q26" s="147"/>
      <c r="R26" s="147"/>
      <c r="S26" s="153"/>
    </row>
    <row r="27" spans="2:19" ht="16.5">
      <c r="B27" s="658"/>
      <c r="C27" s="144" t="s">
        <v>322</v>
      </c>
      <c r="D27" s="145"/>
      <c r="E27" s="145"/>
      <c r="F27" s="145"/>
      <c r="G27" s="145"/>
      <c r="H27" s="145"/>
      <c r="I27" s="145"/>
      <c r="J27" s="145"/>
      <c r="K27" s="145"/>
      <c r="L27" s="145"/>
      <c r="M27" s="145"/>
      <c r="N27" s="145"/>
      <c r="O27" s="145"/>
      <c r="P27" s="145"/>
      <c r="Q27" s="145"/>
      <c r="R27" s="145"/>
      <c r="S27" s="152"/>
    </row>
    <row r="28" spans="2:19" ht="16.5">
      <c r="B28" s="659"/>
      <c r="C28" s="146" t="s">
        <v>323</v>
      </c>
      <c r="D28" s="147"/>
      <c r="E28" s="147"/>
      <c r="F28" s="147"/>
      <c r="G28" s="147"/>
      <c r="H28" s="147"/>
      <c r="I28" s="147"/>
      <c r="J28" s="147"/>
      <c r="K28" s="147"/>
      <c r="L28" s="147"/>
      <c r="M28" s="147"/>
      <c r="N28" s="147"/>
      <c r="O28" s="147"/>
      <c r="P28" s="147"/>
      <c r="Q28" s="147"/>
      <c r="R28" s="147"/>
      <c r="S28" s="153"/>
    </row>
    <row r="29" spans="2:19" ht="16.5">
      <c r="B29" s="658"/>
      <c r="C29" s="144" t="s">
        <v>322</v>
      </c>
      <c r="D29" s="145"/>
      <c r="E29" s="145"/>
      <c r="F29" s="145"/>
      <c r="G29" s="145"/>
      <c r="H29" s="145"/>
      <c r="I29" s="145"/>
      <c r="J29" s="145"/>
      <c r="K29" s="145"/>
      <c r="L29" s="145"/>
      <c r="M29" s="145"/>
      <c r="N29" s="145"/>
      <c r="O29" s="145"/>
      <c r="P29" s="145"/>
      <c r="Q29" s="145"/>
      <c r="R29" s="145"/>
      <c r="S29" s="152"/>
    </row>
    <row r="30" spans="2:19" ht="16.5">
      <c r="B30" s="659"/>
      <c r="C30" s="146" t="s">
        <v>323</v>
      </c>
      <c r="D30" s="147"/>
      <c r="E30" s="147"/>
      <c r="F30" s="147"/>
      <c r="G30" s="147"/>
      <c r="H30" s="147"/>
      <c r="I30" s="147"/>
      <c r="J30" s="147"/>
      <c r="K30" s="147"/>
      <c r="L30" s="147"/>
      <c r="M30" s="147"/>
      <c r="N30" s="147"/>
      <c r="O30" s="147"/>
      <c r="P30" s="147"/>
      <c r="Q30" s="147"/>
      <c r="R30" s="147"/>
      <c r="S30" s="153"/>
    </row>
    <row r="31" spans="2:19" ht="16.5">
      <c r="B31" s="658"/>
      <c r="C31" s="144" t="s">
        <v>322</v>
      </c>
      <c r="D31" s="145"/>
      <c r="E31" s="145"/>
      <c r="F31" s="145"/>
      <c r="G31" s="145"/>
      <c r="H31" s="145"/>
      <c r="I31" s="145"/>
      <c r="J31" s="145"/>
      <c r="K31" s="145"/>
      <c r="L31" s="145"/>
      <c r="M31" s="145"/>
      <c r="N31" s="145"/>
      <c r="O31" s="145"/>
      <c r="P31" s="145"/>
      <c r="Q31" s="145"/>
      <c r="R31" s="145"/>
      <c r="S31" s="152"/>
    </row>
    <row r="32" spans="2:19" ht="16.5">
      <c r="B32" s="659"/>
      <c r="C32" s="146" t="s">
        <v>323</v>
      </c>
      <c r="D32" s="147"/>
      <c r="E32" s="147"/>
      <c r="F32" s="147"/>
      <c r="G32" s="147"/>
      <c r="H32" s="147"/>
      <c r="I32" s="147"/>
      <c r="J32" s="147"/>
      <c r="K32" s="147"/>
      <c r="L32" s="147"/>
      <c r="M32" s="147"/>
      <c r="N32" s="147"/>
      <c r="O32" s="147"/>
      <c r="P32" s="147"/>
      <c r="Q32" s="147"/>
      <c r="R32" s="147"/>
      <c r="S32" s="153"/>
    </row>
    <row r="33" spans="2:19" ht="16.5">
      <c r="B33" s="658"/>
      <c r="C33" s="144" t="s">
        <v>322</v>
      </c>
      <c r="D33" s="145"/>
      <c r="E33" s="145"/>
      <c r="F33" s="145"/>
      <c r="G33" s="145"/>
      <c r="H33" s="145"/>
      <c r="I33" s="145"/>
      <c r="J33" s="145"/>
      <c r="K33" s="145"/>
      <c r="L33" s="145"/>
      <c r="M33" s="145"/>
      <c r="N33" s="145"/>
      <c r="O33" s="145"/>
      <c r="P33" s="145"/>
      <c r="Q33" s="145"/>
      <c r="R33" s="145"/>
      <c r="S33" s="152"/>
    </row>
    <row r="34" spans="2:19" ht="16.5">
      <c r="B34" s="659"/>
      <c r="C34" s="146" t="s">
        <v>323</v>
      </c>
      <c r="D34" s="147"/>
      <c r="E34" s="147"/>
      <c r="F34" s="147"/>
      <c r="G34" s="147"/>
      <c r="H34" s="147"/>
      <c r="I34" s="147"/>
      <c r="J34" s="147"/>
      <c r="K34" s="147"/>
      <c r="L34" s="147"/>
      <c r="M34" s="147"/>
      <c r="N34" s="147"/>
      <c r="O34" s="147"/>
      <c r="P34" s="147"/>
      <c r="Q34" s="147"/>
      <c r="R34" s="147"/>
      <c r="S34" s="153"/>
    </row>
    <row r="35" spans="2:19" ht="16.5">
      <c r="B35" s="658"/>
      <c r="C35" s="144" t="s">
        <v>322</v>
      </c>
      <c r="D35" s="145"/>
      <c r="E35" s="145"/>
      <c r="F35" s="145"/>
      <c r="G35" s="145"/>
      <c r="H35" s="145"/>
      <c r="I35" s="145"/>
      <c r="J35" s="145"/>
      <c r="K35" s="145"/>
      <c r="L35" s="145"/>
      <c r="M35" s="145"/>
      <c r="N35" s="145"/>
      <c r="O35" s="145"/>
      <c r="P35" s="145"/>
      <c r="Q35" s="145"/>
      <c r="R35" s="145"/>
      <c r="S35" s="152"/>
    </row>
    <row r="36" spans="2:19" ht="16.5">
      <c r="B36" s="659"/>
      <c r="C36" s="146" t="s">
        <v>323</v>
      </c>
      <c r="D36" s="147"/>
      <c r="E36" s="147"/>
      <c r="F36" s="147"/>
      <c r="G36" s="147"/>
      <c r="H36" s="147"/>
      <c r="I36" s="147"/>
      <c r="J36" s="147"/>
      <c r="K36" s="147"/>
      <c r="L36" s="147"/>
      <c r="M36" s="147"/>
      <c r="N36" s="147"/>
      <c r="O36" s="147"/>
      <c r="P36" s="147"/>
      <c r="Q36" s="147"/>
      <c r="R36" s="147"/>
      <c r="S36" s="153"/>
    </row>
    <row r="37" spans="2:19" ht="16.5">
      <c r="B37" s="658"/>
      <c r="C37" s="144" t="s">
        <v>322</v>
      </c>
      <c r="D37" s="145"/>
      <c r="E37" s="145"/>
      <c r="F37" s="145"/>
      <c r="G37" s="145"/>
      <c r="H37" s="145"/>
      <c r="I37" s="145"/>
      <c r="J37" s="145"/>
      <c r="K37" s="145"/>
      <c r="L37" s="145"/>
      <c r="M37" s="145"/>
      <c r="N37" s="145"/>
      <c r="O37" s="145"/>
      <c r="P37" s="145"/>
      <c r="Q37" s="145"/>
      <c r="R37" s="145"/>
      <c r="S37" s="152"/>
    </row>
    <row r="38" spans="2:19" ht="16.5">
      <c r="B38" s="659"/>
      <c r="C38" s="146" t="s">
        <v>323</v>
      </c>
      <c r="D38" s="147"/>
      <c r="E38" s="147"/>
      <c r="F38" s="147"/>
      <c r="G38" s="147"/>
      <c r="H38" s="147"/>
      <c r="I38" s="147"/>
      <c r="J38" s="147"/>
      <c r="K38" s="147"/>
      <c r="L38" s="147"/>
      <c r="M38" s="147"/>
      <c r="N38" s="147"/>
      <c r="O38" s="147"/>
      <c r="P38" s="147"/>
      <c r="Q38" s="147"/>
      <c r="R38" s="147"/>
      <c r="S38" s="153"/>
    </row>
    <row r="39" spans="2:19" ht="16.5">
      <c r="B39" s="658"/>
      <c r="C39" s="144" t="s">
        <v>322</v>
      </c>
      <c r="D39" s="145"/>
      <c r="E39" s="145"/>
      <c r="F39" s="145"/>
      <c r="G39" s="145"/>
      <c r="H39" s="145"/>
      <c r="I39" s="145"/>
      <c r="J39" s="145"/>
      <c r="K39" s="145"/>
      <c r="L39" s="145"/>
      <c r="M39" s="145"/>
      <c r="N39" s="145"/>
      <c r="O39" s="145"/>
      <c r="P39" s="145"/>
      <c r="Q39" s="145"/>
      <c r="R39" s="145"/>
      <c r="S39" s="152"/>
    </row>
    <row r="40" spans="2:19" ht="16.5">
      <c r="B40" s="659"/>
      <c r="C40" s="146" t="s">
        <v>323</v>
      </c>
      <c r="D40" s="147"/>
      <c r="E40" s="147"/>
      <c r="F40" s="147"/>
      <c r="G40" s="147"/>
      <c r="H40" s="147"/>
      <c r="I40" s="147"/>
      <c r="J40" s="147"/>
      <c r="K40" s="147"/>
      <c r="L40" s="147"/>
      <c r="M40" s="147"/>
      <c r="N40" s="147"/>
      <c r="O40" s="147"/>
      <c r="P40" s="147"/>
      <c r="Q40" s="147"/>
      <c r="R40" s="147"/>
      <c r="S40" s="153"/>
    </row>
    <row r="41" spans="2:19" ht="16.5">
      <c r="B41" s="658"/>
      <c r="C41" s="144" t="s">
        <v>322</v>
      </c>
      <c r="D41" s="145"/>
      <c r="E41" s="145"/>
      <c r="F41" s="145"/>
      <c r="G41" s="145"/>
      <c r="H41" s="145"/>
      <c r="I41" s="145"/>
      <c r="J41" s="145"/>
      <c r="K41" s="145"/>
      <c r="L41" s="145"/>
      <c r="M41" s="145"/>
      <c r="N41" s="145"/>
      <c r="O41" s="145"/>
      <c r="P41" s="145"/>
      <c r="Q41" s="145"/>
      <c r="R41" s="145"/>
      <c r="S41" s="152"/>
    </row>
    <row r="42" spans="2:19" ht="16.5">
      <c r="B42" s="662"/>
      <c r="C42" s="148" t="s">
        <v>323</v>
      </c>
      <c r="D42" s="149"/>
      <c r="E42" s="149"/>
      <c r="F42" s="149"/>
      <c r="G42" s="149"/>
      <c r="H42" s="149"/>
      <c r="I42" s="149"/>
      <c r="J42" s="149"/>
      <c r="K42" s="149"/>
      <c r="L42" s="149"/>
      <c r="M42" s="149"/>
      <c r="N42" s="149"/>
      <c r="O42" s="149"/>
      <c r="P42" s="149"/>
      <c r="Q42" s="149"/>
      <c r="R42" s="149"/>
      <c r="S42" s="154"/>
    </row>
    <row r="43" spans="2:19" ht="15.75" customHeight="1">
      <c r="B43" s="150" t="s">
        <v>314</v>
      </c>
      <c r="C43" s="58"/>
      <c r="D43" s="58"/>
      <c r="E43" s="58"/>
      <c r="F43" s="58"/>
      <c r="G43" s="58"/>
      <c r="H43" s="58"/>
      <c r="I43" s="58"/>
      <c r="J43" s="58"/>
      <c r="K43" s="58"/>
      <c r="L43" s="58"/>
      <c r="M43" s="58"/>
      <c r="N43" s="58"/>
      <c r="O43" s="58"/>
      <c r="P43" s="58"/>
      <c r="Q43" s="58"/>
      <c r="R43" s="58"/>
      <c r="S43" s="58"/>
    </row>
    <row r="44" spans="2:19" ht="15.75" customHeight="1">
      <c r="B44" s="58"/>
      <c r="C44" s="58"/>
      <c r="D44" s="58"/>
      <c r="E44" s="58"/>
      <c r="F44" s="58"/>
      <c r="G44" s="58"/>
      <c r="H44" s="58"/>
      <c r="I44" s="58"/>
      <c r="J44" s="58"/>
      <c r="K44" s="58"/>
      <c r="L44" s="58"/>
      <c r="M44" s="58"/>
      <c r="N44" s="58"/>
      <c r="O44" s="58"/>
      <c r="P44" s="58"/>
      <c r="Q44" s="58"/>
      <c r="R44" s="58"/>
      <c r="S44" s="58"/>
    </row>
    <row r="45" spans="2:19" ht="15.75" customHeight="1">
      <c r="B45" s="651" t="s">
        <v>40</v>
      </c>
      <c r="C45" s="652"/>
      <c r="D45" s="653" t="s">
        <v>41</v>
      </c>
      <c r="E45" s="653"/>
      <c r="F45" s="653"/>
      <c r="G45" s="653"/>
      <c r="H45" s="653"/>
      <c r="I45" s="653"/>
      <c r="J45" s="653"/>
      <c r="K45" s="653"/>
      <c r="L45" s="653"/>
      <c r="M45" s="653"/>
      <c r="N45" s="653"/>
      <c r="O45" s="653"/>
      <c r="P45" s="654" t="s">
        <v>42</v>
      </c>
      <c r="Q45" s="655"/>
      <c r="R45" s="655"/>
      <c r="S45" s="656"/>
    </row>
    <row r="46" spans="2:19" ht="16.5">
      <c r="B46" s="629" t="s">
        <v>43</v>
      </c>
      <c r="C46" s="631"/>
      <c r="D46" s="632"/>
      <c r="E46" s="633"/>
      <c r="F46" s="633"/>
      <c r="G46" s="633"/>
      <c r="H46" s="633"/>
      <c r="I46" s="633"/>
      <c r="J46" s="633"/>
      <c r="K46" s="633"/>
      <c r="L46" s="633"/>
      <c r="M46" s="633"/>
      <c r="N46" s="633"/>
      <c r="O46" s="634"/>
      <c r="P46" s="151"/>
      <c r="Q46" s="155"/>
      <c r="R46" s="155"/>
      <c r="S46" s="156"/>
    </row>
    <row r="47" spans="2:19" ht="16.5">
      <c r="B47" s="660" t="s">
        <v>315</v>
      </c>
      <c r="C47" s="661"/>
      <c r="D47" s="632"/>
      <c r="E47" s="633"/>
      <c r="F47" s="633"/>
      <c r="G47" s="633"/>
      <c r="H47" s="633"/>
      <c r="I47" s="633"/>
      <c r="J47" s="633"/>
      <c r="K47" s="633"/>
      <c r="L47" s="633"/>
      <c r="M47" s="633"/>
      <c r="N47" s="633"/>
      <c r="O47" s="634"/>
      <c r="P47" s="151"/>
      <c r="Q47" s="155"/>
      <c r="R47" s="155"/>
      <c r="S47" s="156"/>
    </row>
    <row r="48" spans="2:19" ht="16.5">
      <c r="B48" s="660" t="s">
        <v>46</v>
      </c>
      <c r="C48" s="661"/>
      <c r="D48" s="632"/>
      <c r="E48" s="633"/>
      <c r="F48" s="633"/>
      <c r="G48" s="633"/>
      <c r="H48" s="633"/>
      <c r="I48" s="633"/>
      <c r="J48" s="633"/>
      <c r="K48" s="633"/>
      <c r="L48" s="633"/>
      <c r="M48" s="633"/>
      <c r="N48" s="633"/>
      <c r="O48" s="634"/>
      <c r="P48" s="151"/>
      <c r="Q48" s="155"/>
      <c r="R48" s="155"/>
      <c r="S48" s="156"/>
    </row>
    <row r="49" spans="2:19" ht="16.5">
      <c r="B49" s="58"/>
      <c r="C49" s="58"/>
      <c r="D49" s="58"/>
      <c r="E49" s="58"/>
      <c r="F49" s="58"/>
      <c r="G49" s="58"/>
      <c r="H49" s="58"/>
      <c r="I49" s="58"/>
      <c r="J49" s="58"/>
      <c r="K49" s="58"/>
      <c r="L49" s="58"/>
      <c r="M49" s="58"/>
      <c r="N49" s="58"/>
      <c r="O49" s="58"/>
      <c r="P49" s="66" t="s">
        <v>47</v>
      </c>
      <c r="Q49" s="58"/>
      <c r="R49" s="58"/>
      <c r="S49" s="58"/>
    </row>
    <row r="50" spans="2:19" ht="15.75" customHeight="1"/>
    <row r="51" spans="2:19" ht="15.75" customHeight="1"/>
    <row r="52" spans="2:19" ht="15.75" customHeight="1"/>
    <row r="53" spans="2:19" ht="15.75" customHeight="1"/>
    <row r="54" spans="2:19" ht="15.75" customHeight="1"/>
    <row r="55" spans="2:19" ht="15.75" customHeight="1"/>
    <row r="56" spans="2:19" ht="15.75" customHeight="1"/>
    <row r="57" spans="2:19" ht="15.75" customHeight="1"/>
    <row r="58" spans="2:19" ht="15.75" customHeight="1"/>
    <row r="59" spans="2:19" ht="15.75" customHeight="1"/>
    <row r="60" spans="2:19" ht="15.75" customHeight="1"/>
    <row r="61" spans="2:19" ht="15.75" customHeight="1"/>
    <row r="62" spans="2:19" ht="15.75" customHeight="1"/>
    <row r="63" spans="2:19" ht="15.75" customHeight="1"/>
    <row r="64" spans="2:1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sheetData>
  <mergeCells count="32">
    <mergeCell ref="B37:B38"/>
    <mergeCell ref="B39:B40"/>
    <mergeCell ref="B41:B42"/>
    <mergeCell ref="C9:C10"/>
    <mergeCell ref="G9:G10"/>
    <mergeCell ref="B27:B28"/>
    <mergeCell ref="B29:B30"/>
    <mergeCell ref="B31:B32"/>
    <mergeCell ref="B33:B34"/>
    <mergeCell ref="B35:B36"/>
    <mergeCell ref="B46:C46"/>
    <mergeCell ref="D46:O46"/>
    <mergeCell ref="B47:C47"/>
    <mergeCell ref="D47:O47"/>
    <mergeCell ref="B48:C48"/>
    <mergeCell ref="D48:O48"/>
    <mergeCell ref="B4:S4"/>
    <mergeCell ref="B5:S5"/>
    <mergeCell ref="D9:F9"/>
    <mergeCell ref="H9:S9"/>
    <mergeCell ref="B45:C45"/>
    <mergeCell ref="D45:O45"/>
    <mergeCell ref="P45:S45"/>
    <mergeCell ref="B9:B10"/>
    <mergeCell ref="B11:B12"/>
    <mergeCell ref="B13:B14"/>
    <mergeCell ref="B15:B16"/>
    <mergeCell ref="B17:B18"/>
    <mergeCell ref="B19:B20"/>
    <mergeCell ref="B21:B22"/>
    <mergeCell ref="B23:B24"/>
    <mergeCell ref="B25:B26"/>
  </mergeCells>
  <pageMargins left="0.70866141732283505" right="0.70866141732283505" top="0.74803149606299202" bottom="0.74803149606299202" header="0" footer="0"/>
  <pageSetup scale="35"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7"/>
  </sheetPr>
  <dimension ref="B2:M27"/>
  <sheetViews>
    <sheetView showGridLines="0" zoomScaleSheetLayoutView="90" workbookViewId="0"/>
  </sheetViews>
  <sheetFormatPr baseColWidth="10" defaultColWidth="11.42578125" defaultRowHeight="15"/>
  <cols>
    <col min="1" max="1" width="5" style="1" customWidth="1"/>
    <col min="2" max="2" width="18.140625" style="1" customWidth="1"/>
    <col min="3" max="3" width="18.28515625" style="1" customWidth="1"/>
    <col min="4" max="4" width="17" style="1" customWidth="1"/>
    <col min="5" max="5" width="21" style="1" customWidth="1"/>
    <col min="6" max="6" width="23" style="1" customWidth="1"/>
    <col min="7" max="7" width="17.140625" style="1" customWidth="1"/>
    <col min="8" max="9" width="21.140625" style="1" customWidth="1"/>
    <col min="10" max="11" width="20" style="1" customWidth="1"/>
    <col min="12" max="13" width="16.5703125" style="1" customWidth="1"/>
    <col min="14" max="16384" width="11.42578125" style="1"/>
  </cols>
  <sheetData>
    <row r="2" spans="2:13" ht="16.5">
      <c r="B2" s="123" t="s">
        <v>324</v>
      </c>
      <c r="C2" s="124"/>
      <c r="D2" s="124"/>
      <c r="E2" s="124"/>
      <c r="F2" s="124"/>
      <c r="G2" s="124"/>
      <c r="H2" s="124"/>
      <c r="I2" s="124"/>
      <c r="J2" s="124"/>
      <c r="K2" s="124"/>
      <c r="L2" s="6"/>
      <c r="M2" s="6"/>
    </row>
    <row r="3" spans="2:13" ht="33" customHeight="1">
      <c r="B3" s="664" t="s">
        <v>325</v>
      </c>
      <c r="C3" s="664"/>
      <c r="D3" s="664"/>
      <c r="E3" s="664"/>
      <c r="F3" s="664"/>
      <c r="G3" s="664"/>
      <c r="H3" s="664"/>
      <c r="I3" s="664"/>
      <c r="J3" s="664"/>
      <c r="K3" s="664"/>
      <c r="L3" s="664"/>
      <c r="M3" s="664"/>
    </row>
    <row r="4" spans="2:13" ht="16.5">
      <c r="B4" s="6"/>
      <c r="C4" s="6"/>
      <c r="D4" s="6"/>
      <c r="E4" s="6"/>
      <c r="F4" s="6"/>
      <c r="G4" s="6"/>
      <c r="H4" s="6"/>
      <c r="I4" s="6"/>
      <c r="J4" s="6"/>
      <c r="K4" s="6"/>
      <c r="L4" s="6"/>
      <c r="M4" s="6"/>
    </row>
    <row r="5" spans="2:13" ht="16.5">
      <c r="B5" s="125" t="s">
        <v>2</v>
      </c>
      <c r="C5" s="126"/>
      <c r="D5" s="127"/>
      <c r="E5" s="6"/>
      <c r="F5" s="6"/>
      <c r="G5" s="6"/>
      <c r="H5" s="6"/>
      <c r="I5" s="6"/>
      <c r="J5" s="6"/>
      <c r="K5" s="6"/>
      <c r="L5" s="6"/>
      <c r="M5" s="6"/>
    </row>
    <row r="6" spans="2:13" ht="16.5">
      <c r="B6" s="125" t="s">
        <v>3</v>
      </c>
      <c r="C6" s="126"/>
      <c r="D6" s="127"/>
      <c r="E6" s="6"/>
      <c r="F6" s="665"/>
      <c r="G6" s="665"/>
      <c r="H6" s="665"/>
      <c r="I6" s="665"/>
      <c r="J6" s="665"/>
      <c r="K6" s="665"/>
      <c r="L6" s="665"/>
      <c r="M6" s="665"/>
    </row>
    <row r="7" spans="2:13" ht="16.5">
      <c r="B7" s="6"/>
      <c r="C7" s="6"/>
      <c r="D7" s="6"/>
      <c r="E7" s="6"/>
      <c r="F7" s="6"/>
      <c r="G7" s="6"/>
      <c r="H7" s="6"/>
      <c r="I7" s="6"/>
      <c r="J7" s="6"/>
      <c r="K7" s="6"/>
      <c r="L7" s="6"/>
      <c r="M7" s="6"/>
    </row>
    <row r="8" spans="2:13" s="122" customFormat="1" ht="50.25" customHeight="1">
      <c r="B8" s="128" t="s">
        <v>326</v>
      </c>
      <c r="C8" s="129" t="s">
        <v>327</v>
      </c>
      <c r="D8" s="129" t="s">
        <v>328</v>
      </c>
      <c r="E8" s="129" t="s">
        <v>329</v>
      </c>
      <c r="F8" s="129" t="s">
        <v>330</v>
      </c>
      <c r="G8" s="129" t="s">
        <v>331</v>
      </c>
      <c r="H8" s="129" t="s">
        <v>190</v>
      </c>
      <c r="I8" s="129" t="s">
        <v>250</v>
      </c>
      <c r="J8" s="129" t="s">
        <v>332</v>
      </c>
      <c r="K8" s="129" t="s">
        <v>333</v>
      </c>
      <c r="L8" s="129" t="s">
        <v>253</v>
      </c>
      <c r="M8" s="136" t="s">
        <v>254</v>
      </c>
    </row>
    <row r="9" spans="2:13" s="122" customFormat="1" ht="28.5" customHeight="1">
      <c r="B9" s="130"/>
      <c r="C9" s="130"/>
      <c r="D9" s="131"/>
      <c r="E9" s="131"/>
      <c r="F9" s="131"/>
      <c r="G9" s="131"/>
      <c r="H9" s="132"/>
      <c r="I9" s="131"/>
      <c r="J9" s="130"/>
      <c r="K9" s="131"/>
      <c r="L9" s="131"/>
      <c r="M9" s="137"/>
    </row>
    <row r="10" spans="2:13" s="122" customFormat="1" ht="28.5" customHeight="1">
      <c r="B10" s="130"/>
      <c r="C10" s="130"/>
      <c r="D10" s="131"/>
      <c r="E10" s="131"/>
      <c r="F10" s="131"/>
      <c r="G10" s="131"/>
      <c r="H10" s="132"/>
      <c r="I10" s="131"/>
      <c r="J10" s="131"/>
      <c r="K10" s="131"/>
      <c r="L10" s="131"/>
      <c r="M10" s="137"/>
    </row>
    <row r="11" spans="2:13" ht="28.5" customHeight="1">
      <c r="B11" s="9"/>
      <c r="C11" s="9"/>
      <c r="D11" s="9"/>
      <c r="E11" s="9"/>
      <c r="F11" s="9"/>
      <c r="G11" s="9"/>
      <c r="H11" s="9"/>
      <c r="I11" s="9"/>
      <c r="J11" s="9"/>
      <c r="K11" s="9"/>
      <c r="L11" s="9"/>
      <c r="M11" s="138"/>
    </row>
    <row r="12" spans="2:13" ht="28.5" customHeight="1">
      <c r="B12" s="9"/>
      <c r="C12" s="9"/>
      <c r="D12" s="9"/>
      <c r="E12" s="9"/>
      <c r="F12" s="9"/>
      <c r="G12" s="9"/>
      <c r="H12" s="9"/>
      <c r="I12" s="9"/>
      <c r="J12" s="9"/>
      <c r="K12" s="9"/>
      <c r="L12" s="9"/>
      <c r="M12" s="138"/>
    </row>
    <row r="13" spans="2:13" ht="28.5" customHeight="1">
      <c r="B13" s="9"/>
      <c r="C13" s="9"/>
      <c r="D13" s="9"/>
      <c r="E13" s="9"/>
      <c r="F13" s="9"/>
      <c r="G13" s="9"/>
      <c r="H13" s="9"/>
      <c r="I13" s="9"/>
      <c r="J13" s="9"/>
      <c r="K13" s="9"/>
      <c r="L13" s="9"/>
      <c r="M13" s="138"/>
    </row>
    <row r="14" spans="2:13" ht="28.5" customHeight="1">
      <c r="B14" s="9"/>
      <c r="C14" s="9"/>
      <c r="D14" s="9"/>
      <c r="E14" s="9"/>
      <c r="F14" s="9"/>
      <c r="G14" s="9"/>
      <c r="H14" s="9"/>
      <c r="I14" s="9"/>
      <c r="J14" s="9"/>
      <c r="K14" s="9"/>
      <c r="L14" s="9"/>
      <c r="M14" s="138"/>
    </row>
    <row r="15" spans="2:13" ht="28.5" customHeight="1">
      <c r="B15" s="9"/>
      <c r="C15" s="9"/>
      <c r="D15" s="9"/>
      <c r="E15" s="9"/>
      <c r="F15" s="9"/>
      <c r="G15" s="9"/>
      <c r="H15" s="9"/>
      <c r="I15" s="9"/>
      <c r="J15" s="9"/>
      <c r="K15" s="9"/>
      <c r="L15" s="9"/>
      <c r="M15" s="138"/>
    </row>
    <row r="16" spans="2:13" ht="28.5" customHeight="1">
      <c r="B16" s="9"/>
      <c r="C16" s="9"/>
      <c r="D16" s="9"/>
      <c r="E16" s="9"/>
      <c r="F16" s="9"/>
      <c r="G16" s="9"/>
      <c r="H16" s="9"/>
      <c r="I16" s="9"/>
      <c r="J16" s="9"/>
      <c r="K16" s="9"/>
      <c r="L16" s="9"/>
      <c r="M16" s="138"/>
    </row>
    <row r="17" spans="2:13" ht="28.5" customHeight="1">
      <c r="B17" s="9"/>
      <c r="C17" s="9"/>
      <c r="D17" s="9"/>
      <c r="E17" s="9"/>
      <c r="F17" s="9"/>
      <c r="G17" s="9"/>
      <c r="H17" s="9"/>
      <c r="I17" s="9"/>
      <c r="J17" s="9"/>
      <c r="K17" s="9"/>
      <c r="L17" s="9"/>
      <c r="M17" s="138"/>
    </row>
    <row r="18" spans="2:13" ht="28.5" customHeight="1">
      <c r="B18" s="9"/>
      <c r="C18" s="9"/>
      <c r="D18" s="9"/>
      <c r="E18" s="9"/>
      <c r="F18" s="9"/>
      <c r="G18" s="9"/>
      <c r="H18" s="9"/>
      <c r="I18" s="9"/>
      <c r="J18" s="9"/>
      <c r="K18" s="9"/>
      <c r="L18" s="9"/>
      <c r="M18" s="138"/>
    </row>
    <row r="19" spans="2:13">
      <c r="B19" s="666" t="s">
        <v>278</v>
      </c>
      <c r="C19" s="667"/>
      <c r="D19" s="667"/>
      <c r="E19" s="667"/>
      <c r="F19" s="667"/>
      <c r="G19" s="667"/>
      <c r="H19" s="667"/>
      <c r="I19" s="667"/>
      <c r="J19" s="668"/>
      <c r="K19" s="139"/>
      <c r="L19" s="22"/>
      <c r="M19" s="36"/>
    </row>
    <row r="20" spans="2:13">
      <c r="B20" s="8"/>
      <c r="C20" s="8"/>
      <c r="D20" s="8"/>
      <c r="E20" s="8"/>
      <c r="F20" s="8"/>
      <c r="G20" s="8"/>
      <c r="H20" s="8"/>
      <c r="I20" s="8"/>
      <c r="J20" s="8"/>
      <c r="K20" s="8"/>
      <c r="L20" s="8"/>
      <c r="M20" s="8"/>
    </row>
    <row r="21" spans="2:13" ht="21.75" customHeight="1">
      <c r="B21" s="666" t="s">
        <v>260</v>
      </c>
      <c r="C21" s="667"/>
      <c r="D21" s="668"/>
      <c r="E21" s="669" t="s">
        <v>41</v>
      </c>
      <c r="F21" s="667"/>
      <c r="G21" s="667"/>
      <c r="H21" s="667"/>
      <c r="I21" s="667"/>
      <c r="J21" s="668"/>
      <c r="K21" s="669" t="s">
        <v>42</v>
      </c>
      <c r="L21" s="667"/>
      <c r="M21" s="670"/>
    </row>
    <row r="22" spans="2:13">
      <c r="B22" s="573" t="s">
        <v>43</v>
      </c>
      <c r="C22" s="671"/>
      <c r="D22" s="574"/>
      <c r="E22" s="575"/>
      <c r="F22" s="576"/>
      <c r="G22" s="576"/>
      <c r="H22" s="576"/>
      <c r="I22" s="576"/>
      <c r="J22" s="577"/>
      <c r="K22" s="578"/>
      <c r="L22" s="672"/>
      <c r="M22" s="579"/>
    </row>
    <row r="23" spans="2:13">
      <c r="B23" s="573" t="s">
        <v>45</v>
      </c>
      <c r="C23" s="671"/>
      <c r="D23" s="574"/>
      <c r="E23" s="575"/>
      <c r="F23" s="576"/>
      <c r="G23" s="576"/>
      <c r="H23" s="576"/>
      <c r="I23" s="576"/>
      <c r="J23" s="577"/>
      <c r="K23" s="578"/>
      <c r="L23" s="672"/>
      <c r="M23" s="579"/>
    </row>
    <row r="24" spans="2:13">
      <c r="B24" s="573" t="s">
        <v>46</v>
      </c>
      <c r="C24" s="671"/>
      <c r="D24" s="574"/>
      <c r="E24" s="575"/>
      <c r="F24" s="576"/>
      <c r="G24" s="576"/>
      <c r="H24" s="576"/>
      <c r="I24" s="576"/>
      <c r="J24" s="577"/>
      <c r="K24" s="578"/>
      <c r="L24" s="672"/>
      <c r="M24" s="579"/>
    </row>
    <row r="25" spans="2:13">
      <c r="B25" s="133"/>
      <c r="C25" s="133"/>
      <c r="D25" s="133"/>
      <c r="E25" s="133"/>
      <c r="F25" s="133"/>
      <c r="G25" s="133"/>
      <c r="H25" s="133"/>
      <c r="I25" s="133"/>
      <c r="J25" s="133"/>
      <c r="K25" s="140" t="s">
        <v>47</v>
      </c>
      <c r="L25" s="133"/>
      <c r="M25" s="133"/>
    </row>
    <row r="26" spans="2:13" ht="16.5">
      <c r="B26" s="134" t="s">
        <v>334</v>
      </c>
      <c r="C26" s="135"/>
      <c r="D26" s="135"/>
      <c r="E26" s="135"/>
      <c r="F26" s="135"/>
      <c r="G26" s="135"/>
      <c r="H26" s="135"/>
      <c r="I26" s="135"/>
      <c r="J26" s="135"/>
      <c r="K26" s="124"/>
      <c r="L26" s="124"/>
      <c r="M26" s="124"/>
    </row>
    <row r="27" spans="2:13" ht="16.5">
      <c r="B27" s="6"/>
      <c r="C27" s="6"/>
      <c r="D27" s="6"/>
      <c r="E27" s="6"/>
      <c r="F27" s="6"/>
      <c r="G27" s="6"/>
      <c r="H27" s="6"/>
      <c r="I27" s="6"/>
      <c r="J27" s="6"/>
      <c r="K27" s="6"/>
      <c r="L27" s="6"/>
      <c r="M27" s="6"/>
    </row>
  </sheetData>
  <mergeCells count="16">
    <mergeCell ref="B24:D24"/>
    <mergeCell ref="E24:J24"/>
    <mergeCell ref="K24:M24"/>
    <mergeCell ref="B22:D22"/>
    <mergeCell ref="E22:J22"/>
    <mergeCell ref="K22:M22"/>
    <mergeCell ref="B23:D23"/>
    <mergeCell ref="E23:J23"/>
    <mergeCell ref="K23:M23"/>
    <mergeCell ref="B3:M3"/>
    <mergeCell ref="F6:K6"/>
    <mergeCell ref="L6:M6"/>
    <mergeCell ref="B19:J19"/>
    <mergeCell ref="B21:D21"/>
    <mergeCell ref="E21:J21"/>
    <mergeCell ref="K21:M21"/>
  </mergeCells>
  <printOptions horizontalCentered="1"/>
  <pageMargins left="0.23622047244094499" right="0.23622047244094499" top="0.74803149606299202" bottom="0.74803149606299202" header="0.31496062992126" footer="0.31496062992126"/>
  <pageSetup scale="53"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7"/>
  </sheetPr>
  <dimension ref="B2:K33"/>
  <sheetViews>
    <sheetView showGridLines="0" workbookViewId="0"/>
  </sheetViews>
  <sheetFormatPr baseColWidth="10" defaultColWidth="11.42578125" defaultRowHeight="15"/>
  <cols>
    <col min="1" max="1" width="5" style="71" customWidth="1"/>
    <col min="2" max="2" width="4.5703125" style="71" customWidth="1"/>
    <col min="3" max="3" width="29.7109375" style="71" customWidth="1"/>
    <col min="4" max="7" width="12.7109375" style="71" customWidth="1"/>
    <col min="8" max="8" width="37" style="71" customWidth="1"/>
    <col min="9" max="16384" width="11.42578125" style="71"/>
  </cols>
  <sheetData>
    <row r="2" spans="2:10" ht="16.5">
      <c r="B2" s="40" t="s">
        <v>335</v>
      </c>
      <c r="C2" s="72"/>
      <c r="D2" s="72"/>
      <c r="E2" s="72"/>
      <c r="F2" s="72"/>
      <c r="G2" s="72"/>
      <c r="H2" s="73"/>
      <c r="I2" s="112"/>
      <c r="J2" s="112"/>
    </row>
    <row r="3" spans="2:10" ht="20.25">
      <c r="B3" s="580" t="s">
        <v>336</v>
      </c>
      <c r="C3" s="581"/>
      <c r="D3" s="581"/>
      <c r="E3" s="581"/>
      <c r="F3" s="581"/>
      <c r="G3" s="581"/>
      <c r="H3" s="680"/>
      <c r="I3" s="112"/>
      <c r="J3" s="112"/>
    </row>
    <row r="4" spans="2:10" s="69" customFormat="1" ht="10.5" customHeight="1">
      <c r="B4" s="74"/>
      <c r="C4" s="74"/>
      <c r="D4" s="74"/>
      <c r="E4" s="74"/>
      <c r="F4" s="74"/>
      <c r="G4" s="74"/>
      <c r="H4" s="75"/>
      <c r="I4" s="113"/>
      <c r="J4" s="113"/>
    </row>
    <row r="5" spans="2:10" s="69" customFormat="1" ht="18">
      <c r="B5" s="681" t="s">
        <v>337</v>
      </c>
      <c r="C5" s="681"/>
      <c r="D5" s="681"/>
      <c r="E5" s="681"/>
      <c r="F5" s="681"/>
      <c r="G5" s="681"/>
      <c r="H5" s="682"/>
      <c r="I5" s="113"/>
      <c r="J5" s="113"/>
    </row>
    <row r="6" spans="2:10" s="69" customFormat="1" ht="18">
      <c r="B6" s="682" t="s">
        <v>338</v>
      </c>
      <c r="C6" s="683"/>
      <c r="D6" s="683"/>
      <c r="E6" s="683"/>
      <c r="F6" s="683"/>
      <c r="G6" s="683"/>
      <c r="H6" s="684"/>
      <c r="I6" s="113"/>
      <c r="J6" s="113"/>
    </row>
    <row r="7" spans="2:10" s="69" customFormat="1" ht="15" customHeight="1">
      <c r="B7" s="685" t="s">
        <v>318</v>
      </c>
      <c r="C7" s="686"/>
      <c r="D7" s="686"/>
      <c r="E7" s="686"/>
      <c r="F7" s="686"/>
      <c r="G7" s="686"/>
      <c r="H7" s="687"/>
      <c r="I7" s="113"/>
      <c r="J7" s="113"/>
    </row>
    <row r="8" spans="2:10" s="69" customFormat="1" ht="15" customHeight="1">
      <c r="B8" s="76"/>
      <c r="C8" s="76"/>
      <c r="D8" s="76"/>
      <c r="E8" s="76"/>
      <c r="F8" s="76"/>
      <c r="G8" s="76"/>
      <c r="H8" s="76"/>
      <c r="I8" s="114"/>
      <c r="J8" s="113"/>
    </row>
    <row r="9" spans="2:10" s="69" customFormat="1" ht="15" customHeight="1">
      <c r="B9" s="77" t="s">
        <v>2</v>
      </c>
      <c r="C9" s="78"/>
      <c r="D9" s="79"/>
      <c r="E9" s="76"/>
      <c r="F9" s="76"/>
      <c r="G9" s="76"/>
      <c r="H9" s="76"/>
      <c r="I9" s="114"/>
      <c r="J9" s="113"/>
    </row>
    <row r="10" spans="2:10" s="69" customFormat="1" ht="15" customHeight="1">
      <c r="B10" s="77" t="s">
        <v>3</v>
      </c>
      <c r="C10" s="78"/>
      <c r="D10" s="79"/>
      <c r="E10" s="76"/>
      <c r="F10" s="76"/>
      <c r="G10" s="76"/>
      <c r="H10" s="76"/>
      <c r="I10" s="114"/>
      <c r="J10" s="113"/>
    </row>
    <row r="11" spans="2:10" ht="15" customHeight="1">
      <c r="B11" s="80"/>
      <c r="C11" s="80"/>
      <c r="D11" s="80"/>
      <c r="E11" s="80"/>
      <c r="F11" s="80"/>
      <c r="G11" s="80"/>
      <c r="H11" s="80"/>
      <c r="I11" s="115"/>
      <c r="J11" s="112"/>
    </row>
    <row r="12" spans="2:10" ht="33" customHeight="1">
      <c r="B12" s="81" t="s">
        <v>123</v>
      </c>
      <c r="C12" s="82" t="s">
        <v>339</v>
      </c>
      <c r="D12" s="83" t="s">
        <v>340</v>
      </c>
      <c r="E12" s="82" t="s">
        <v>341</v>
      </c>
      <c r="F12" s="83" t="s">
        <v>342</v>
      </c>
      <c r="G12" s="82" t="s">
        <v>213</v>
      </c>
      <c r="H12" s="84" t="s">
        <v>343</v>
      </c>
      <c r="I12" s="115"/>
      <c r="J12" s="112"/>
    </row>
    <row r="13" spans="2:10">
      <c r="B13" s="85" t="s">
        <v>344</v>
      </c>
      <c r="C13" s="86" t="s">
        <v>345</v>
      </c>
      <c r="D13" s="86" t="s">
        <v>346</v>
      </c>
      <c r="E13" s="86" t="s">
        <v>347</v>
      </c>
      <c r="F13" s="86" t="s">
        <v>348</v>
      </c>
      <c r="G13" s="86" t="s">
        <v>349</v>
      </c>
      <c r="H13" s="87" t="s">
        <v>350</v>
      </c>
      <c r="I13" s="115"/>
      <c r="J13" s="112"/>
    </row>
    <row r="14" spans="2:10">
      <c r="B14" s="88"/>
      <c r="C14" s="89"/>
      <c r="D14" s="89"/>
      <c r="E14" s="89"/>
      <c r="F14" s="89"/>
      <c r="G14" s="89"/>
      <c r="H14" s="90"/>
      <c r="I14" s="115"/>
      <c r="J14" s="112"/>
    </row>
    <row r="15" spans="2:10">
      <c r="B15" s="91"/>
      <c r="C15" s="92"/>
      <c r="D15" s="92"/>
      <c r="E15" s="92"/>
      <c r="F15" s="92"/>
      <c r="G15" s="92"/>
      <c r="H15" s="93"/>
      <c r="I15" s="115"/>
      <c r="J15" s="112"/>
    </row>
    <row r="16" spans="2:10">
      <c r="B16" s="688" t="s">
        <v>351</v>
      </c>
      <c r="C16" s="689"/>
      <c r="D16" s="689"/>
      <c r="E16" s="689"/>
      <c r="F16" s="689"/>
      <c r="G16" s="94"/>
      <c r="H16" s="95"/>
      <c r="I16" s="116"/>
      <c r="J16" s="112"/>
    </row>
    <row r="17" spans="2:11" s="70" customFormat="1">
      <c r="B17" s="96"/>
      <c r="C17" s="97"/>
      <c r="D17" s="98"/>
      <c r="E17" s="98"/>
      <c r="F17" s="98"/>
      <c r="G17" s="98"/>
      <c r="H17" s="99"/>
      <c r="I17" s="117"/>
      <c r="J17" s="118"/>
    </row>
    <row r="18" spans="2:11">
      <c r="B18" s="100"/>
      <c r="C18" s="101"/>
      <c r="D18" s="673" t="s">
        <v>41</v>
      </c>
      <c r="E18" s="549"/>
      <c r="F18" s="549"/>
      <c r="G18" s="549"/>
      <c r="H18" s="30" t="s">
        <v>42</v>
      </c>
      <c r="I18" s="115"/>
      <c r="J18" s="115"/>
    </row>
    <row r="19" spans="2:11" s="69" customFormat="1">
      <c r="B19" s="102"/>
      <c r="C19" s="103" t="s">
        <v>352</v>
      </c>
      <c r="D19" s="674" t="s">
        <v>353</v>
      </c>
      <c r="E19" s="675"/>
      <c r="F19" s="675"/>
      <c r="G19" s="676"/>
      <c r="H19" s="104"/>
      <c r="I19" s="114"/>
      <c r="J19" s="114"/>
    </row>
    <row r="20" spans="2:11" s="69" customFormat="1">
      <c r="B20" s="102"/>
      <c r="C20" s="105" t="s">
        <v>354</v>
      </c>
      <c r="D20" s="677" t="s">
        <v>355</v>
      </c>
      <c r="E20" s="678"/>
      <c r="F20" s="678"/>
      <c r="G20" s="679"/>
      <c r="H20" s="106"/>
      <c r="I20" s="114"/>
      <c r="J20" s="114"/>
    </row>
    <row r="21" spans="2:11" ht="16.5">
      <c r="B21" s="107"/>
      <c r="C21" s="108"/>
      <c r="D21" s="108"/>
      <c r="E21" s="108"/>
      <c r="F21" s="108"/>
      <c r="G21" s="108"/>
      <c r="H21" s="109" t="s">
        <v>47</v>
      </c>
      <c r="I21" s="112"/>
      <c r="J21" s="115"/>
    </row>
    <row r="22" spans="2:11">
      <c r="B22" s="110" t="s">
        <v>344</v>
      </c>
      <c r="C22" s="111" t="s">
        <v>356</v>
      </c>
      <c r="D22" s="100"/>
      <c r="E22" s="100"/>
      <c r="F22" s="100"/>
      <c r="G22" s="100"/>
      <c r="H22" s="100"/>
      <c r="I22" s="119"/>
      <c r="J22" s="120"/>
      <c r="K22" s="121"/>
    </row>
    <row r="23" spans="2:11">
      <c r="B23" s="110" t="s">
        <v>345</v>
      </c>
      <c r="C23" s="100" t="s">
        <v>357</v>
      </c>
      <c r="D23" s="100"/>
      <c r="E23" s="100"/>
      <c r="F23" s="100"/>
      <c r="G23" s="100"/>
      <c r="H23" s="100"/>
      <c r="I23" s="119"/>
      <c r="J23" s="120"/>
      <c r="K23" s="121"/>
    </row>
    <row r="24" spans="2:11">
      <c r="B24" s="110" t="s">
        <v>346</v>
      </c>
      <c r="C24" s="100" t="s">
        <v>358</v>
      </c>
      <c r="D24" s="100"/>
      <c r="E24" s="100"/>
      <c r="F24" s="100"/>
      <c r="G24" s="100"/>
      <c r="H24" s="100"/>
      <c r="I24" s="119"/>
      <c r="J24" s="120"/>
      <c r="K24" s="121"/>
    </row>
    <row r="25" spans="2:11">
      <c r="B25" s="110" t="s">
        <v>347</v>
      </c>
      <c r="C25" s="100" t="s">
        <v>359</v>
      </c>
      <c r="D25" s="100"/>
      <c r="E25" s="100"/>
      <c r="F25" s="100"/>
      <c r="G25" s="100"/>
      <c r="H25" s="100"/>
      <c r="I25" s="119"/>
      <c r="J25" s="120"/>
      <c r="K25" s="121"/>
    </row>
    <row r="26" spans="2:11">
      <c r="B26" s="110" t="s">
        <v>348</v>
      </c>
      <c r="C26" s="100" t="s">
        <v>360</v>
      </c>
      <c r="D26" s="100"/>
      <c r="E26" s="100"/>
      <c r="F26" s="100"/>
      <c r="G26" s="100"/>
      <c r="H26" s="100"/>
      <c r="I26" s="119"/>
      <c r="J26" s="121"/>
      <c r="K26" s="121"/>
    </row>
    <row r="27" spans="2:11">
      <c r="B27" s="110" t="s">
        <v>349</v>
      </c>
      <c r="C27" s="100" t="s">
        <v>361</v>
      </c>
      <c r="D27" s="100"/>
      <c r="E27" s="100"/>
      <c r="F27" s="100"/>
      <c r="G27" s="100"/>
      <c r="H27" s="100"/>
      <c r="I27" s="119"/>
      <c r="J27" s="121"/>
      <c r="K27" s="121"/>
    </row>
    <row r="28" spans="2:11">
      <c r="B28" s="110" t="s">
        <v>350</v>
      </c>
      <c r="C28" s="100" t="s">
        <v>362</v>
      </c>
      <c r="D28" s="100"/>
      <c r="E28" s="100"/>
      <c r="F28" s="100"/>
      <c r="G28" s="100"/>
      <c r="H28" s="100"/>
      <c r="I28" s="119"/>
      <c r="J28" s="121"/>
      <c r="K28" s="121"/>
    </row>
    <row r="29" spans="2:11">
      <c r="B29" s="110" t="s">
        <v>353</v>
      </c>
      <c r="C29" s="100" t="s">
        <v>363</v>
      </c>
      <c r="D29" s="100"/>
      <c r="E29" s="100"/>
      <c r="F29" s="100"/>
      <c r="G29" s="100"/>
      <c r="H29" s="100"/>
      <c r="I29" s="119"/>
      <c r="J29" s="121"/>
      <c r="K29" s="121"/>
    </row>
    <row r="30" spans="2:11">
      <c r="B30" s="110" t="s">
        <v>355</v>
      </c>
      <c r="C30" s="100" t="s">
        <v>364</v>
      </c>
      <c r="D30" s="100"/>
      <c r="E30" s="100"/>
      <c r="F30" s="100"/>
      <c r="G30" s="100"/>
      <c r="H30" s="100"/>
      <c r="I30" s="119"/>
      <c r="J30" s="121"/>
      <c r="K30" s="121"/>
    </row>
    <row r="31" spans="2:11">
      <c r="B31" s="100"/>
      <c r="C31" s="100"/>
      <c r="D31" s="100"/>
      <c r="E31" s="100"/>
      <c r="F31" s="100"/>
      <c r="G31" s="100"/>
      <c r="H31" s="100"/>
      <c r="I31" s="119"/>
      <c r="J31" s="121"/>
      <c r="K31" s="121"/>
    </row>
    <row r="32" spans="2:11" ht="16.5">
      <c r="B32" s="72"/>
      <c r="C32" s="72"/>
      <c r="D32" s="72"/>
      <c r="E32" s="72"/>
      <c r="F32" s="72"/>
      <c r="G32" s="72"/>
      <c r="H32" s="72"/>
      <c r="I32" s="112"/>
    </row>
    <row r="33" spans="2:9">
      <c r="B33" s="112"/>
      <c r="C33" s="112"/>
      <c r="D33" s="112"/>
      <c r="E33" s="112"/>
      <c r="F33" s="112"/>
      <c r="G33" s="112"/>
      <c r="H33" s="112"/>
      <c r="I33" s="112"/>
    </row>
  </sheetData>
  <mergeCells count="8">
    <mergeCell ref="D18:G18"/>
    <mergeCell ref="D19:G19"/>
    <mergeCell ref="D20:G20"/>
    <mergeCell ref="B3:H3"/>
    <mergeCell ref="B5:H5"/>
    <mergeCell ref="B6:H6"/>
    <mergeCell ref="B7:H7"/>
    <mergeCell ref="B16:F16"/>
  </mergeCells>
  <pageMargins left="0.7" right="0.7" top="0.75" bottom="0.75" header="0.3" footer="0.3"/>
  <pageSetup scale="84" orientation="landscape"/>
  <ignoredErrors>
    <ignoredError sqref="B13:H13 D19:D20 B22:B30"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7"/>
    <pageSetUpPr autoPageBreaks="0"/>
  </sheetPr>
  <dimension ref="B2:AB101"/>
  <sheetViews>
    <sheetView showGridLines="0" workbookViewId="0"/>
  </sheetViews>
  <sheetFormatPr baseColWidth="10" defaultColWidth="14.42578125" defaultRowHeight="15" customHeight="1"/>
  <cols>
    <col min="1" max="1" width="4.85546875" style="39" customWidth="1"/>
    <col min="2" max="3" width="26.28515625" style="39" customWidth="1"/>
    <col min="4" max="15" width="14" style="39" customWidth="1"/>
    <col min="16" max="16" width="6.28515625" style="39" customWidth="1"/>
    <col min="17" max="28" width="10.7109375" style="39" customWidth="1"/>
    <col min="29" max="16384" width="14.42578125" style="39"/>
  </cols>
  <sheetData>
    <row r="2" spans="2:28" ht="16.5">
      <c r="B2" s="40" t="s">
        <v>365</v>
      </c>
      <c r="C2" s="41"/>
      <c r="D2" s="41"/>
      <c r="E2" s="41"/>
      <c r="F2" s="41"/>
      <c r="G2" s="41"/>
      <c r="H2" s="41"/>
      <c r="I2" s="41"/>
      <c r="J2" s="41"/>
      <c r="K2" s="41"/>
      <c r="L2" s="41"/>
      <c r="M2" s="41"/>
      <c r="N2" s="41"/>
      <c r="O2" s="41"/>
      <c r="P2" s="41"/>
      <c r="Q2" s="41"/>
    </row>
    <row r="3" spans="2:28" ht="15" customHeight="1">
      <c r="B3" s="41"/>
      <c r="C3" s="41"/>
      <c r="D3" s="41"/>
      <c r="E3" s="41"/>
      <c r="F3" s="41"/>
      <c r="G3" s="41"/>
      <c r="H3" s="41"/>
      <c r="I3" s="41"/>
      <c r="J3" s="41"/>
      <c r="K3" s="41"/>
      <c r="L3" s="41"/>
      <c r="M3" s="41"/>
      <c r="N3" s="41"/>
      <c r="O3" s="41"/>
      <c r="P3" s="41"/>
      <c r="Q3" s="41"/>
    </row>
    <row r="4" spans="2:28" ht="20.25">
      <c r="B4" s="614" t="s">
        <v>366</v>
      </c>
      <c r="C4" s="615"/>
      <c r="D4" s="615"/>
      <c r="E4" s="615"/>
      <c r="F4" s="615"/>
      <c r="G4" s="615"/>
      <c r="H4" s="615"/>
      <c r="I4" s="615"/>
      <c r="J4" s="615"/>
      <c r="K4" s="615"/>
      <c r="L4" s="615"/>
      <c r="M4" s="615"/>
      <c r="N4" s="615"/>
      <c r="O4" s="615"/>
      <c r="P4" s="59"/>
      <c r="Q4" s="59"/>
      <c r="R4" s="67"/>
      <c r="S4" s="67"/>
      <c r="T4" s="67"/>
      <c r="U4" s="67"/>
      <c r="V4" s="67"/>
      <c r="W4" s="67"/>
      <c r="X4" s="67"/>
      <c r="Y4" s="67"/>
      <c r="Z4" s="67"/>
      <c r="AA4" s="67"/>
      <c r="AB4" s="67"/>
    </row>
    <row r="5" spans="2:28" ht="20.25">
      <c r="B5" s="616" t="s">
        <v>367</v>
      </c>
      <c r="C5" s="615"/>
      <c r="D5" s="615"/>
      <c r="E5" s="615"/>
      <c r="F5" s="615"/>
      <c r="G5" s="615"/>
      <c r="H5" s="615"/>
      <c r="I5" s="615"/>
      <c r="J5" s="615"/>
      <c r="K5" s="615"/>
      <c r="L5" s="615"/>
      <c r="M5" s="615"/>
      <c r="N5" s="615"/>
      <c r="O5" s="615"/>
      <c r="P5" s="60"/>
      <c r="Q5" s="60"/>
      <c r="R5" s="68"/>
      <c r="S5" s="68"/>
      <c r="T5" s="68"/>
      <c r="U5" s="68"/>
      <c r="V5" s="68"/>
      <c r="W5" s="68"/>
      <c r="X5" s="68"/>
      <c r="Y5" s="68"/>
      <c r="Z5" s="68"/>
      <c r="AA5" s="68"/>
      <c r="AB5" s="68"/>
    </row>
    <row r="6" spans="2:28" ht="18" customHeight="1">
      <c r="B6" s="44" t="s">
        <v>2</v>
      </c>
      <c r="C6" s="45"/>
      <c r="D6" s="10"/>
      <c r="E6" s="42"/>
      <c r="F6" s="42"/>
      <c r="G6" s="42"/>
      <c r="H6" s="42"/>
      <c r="I6" s="42"/>
      <c r="J6" s="42"/>
      <c r="K6" s="42"/>
      <c r="L6" s="42"/>
      <c r="M6" s="42"/>
      <c r="N6" s="42"/>
      <c r="O6" s="42"/>
      <c r="P6" s="60"/>
      <c r="Q6" s="60"/>
      <c r="R6" s="68"/>
      <c r="S6" s="68"/>
      <c r="T6" s="68"/>
      <c r="U6" s="68"/>
      <c r="V6" s="68"/>
      <c r="W6" s="68"/>
      <c r="X6" s="68"/>
      <c r="Y6" s="68"/>
      <c r="Z6" s="68"/>
      <c r="AA6" s="68"/>
      <c r="AB6" s="68"/>
    </row>
    <row r="7" spans="2:28" ht="18" customHeight="1">
      <c r="B7" s="44" t="s">
        <v>3</v>
      </c>
      <c r="C7" s="46"/>
      <c r="D7" s="47"/>
      <c r="E7" s="42"/>
      <c r="F7" s="42"/>
      <c r="G7" s="42"/>
      <c r="H7" s="42"/>
      <c r="I7" s="42"/>
      <c r="J7" s="42"/>
      <c r="K7" s="42"/>
      <c r="L7" s="42"/>
      <c r="M7" s="42"/>
      <c r="N7" s="42"/>
      <c r="O7" s="42"/>
      <c r="P7" s="60"/>
      <c r="Q7" s="60"/>
      <c r="R7" s="68"/>
      <c r="S7" s="68"/>
      <c r="T7" s="68"/>
      <c r="U7" s="68"/>
      <c r="V7" s="68"/>
      <c r="W7" s="68"/>
      <c r="X7" s="68"/>
      <c r="Y7" s="68"/>
      <c r="Z7" s="68"/>
      <c r="AA7" s="68"/>
      <c r="AB7" s="68"/>
    </row>
    <row r="8" spans="2:28" ht="20.25">
      <c r="B8" s="43"/>
      <c r="C8" s="42"/>
      <c r="D8" s="42"/>
      <c r="E8" s="42"/>
      <c r="F8" s="42"/>
      <c r="G8" s="42"/>
      <c r="H8" s="42"/>
      <c r="I8" s="42"/>
      <c r="J8" s="42"/>
      <c r="K8" s="42"/>
      <c r="L8" s="42"/>
      <c r="M8" s="42"/>
      <c r="N8" s="42"/>
      <c r="O8" s="42"/>
      <c r="P8" s="60"/>
      <c r="Q8" s="60"/>
      <c r="R8" s="68"/>
      <c r="S8" s="68"/>
      <c r="T8" s="68"/>
      <c r="U8" s="68"/>
      <c r="V8" s="68"/>
      <c r="W8" s="68"/>
      <c r="X8" s="68"/>
      <c r="Y8" s="68"/>
      <c r="Z8" s="68"/>
      <c r="AA8" s="68"/>
      <c r="AB8" s="68"/>
    </row>
    <row r="9" spans="2:28" s="38" customFormat="1" ht="18" customHeight="1">
      <c r="B9" s="640" t="s">
        <v>291</v>
      </c>
      <c r="C9" s="617" t="s">
        <v>292</v>
      </c>
      <c r="D9" s="648">
        <v>2026</v>
      </c>
      <c r="E9" s="690"/>
      <c r="F9" s="690"/>
      <c r="G9" s="690"/>
      <c r="H9" s="690"/>
      <c r="I9" s="690"/>
      <c r="J9" s="690"/>
      <c r="K9" s="690"/>
      <c r="L9" s="690"/>
      <c r="M9" s="690"/>
      <c r="N9" s="690"/>
      <c r="O9" s="691"/>
      <c r="P9" s="61"/>
      <c r="Q9" s="61"/>
    </row>
    <row r="10" spans="2:28" ht="30" customHeight="1">
      <c r="B10" s="657"/>
      <c r="C10" s="663"/>
      <c r="D10" s="48" t="s">
        <v>298</v>
      </c>
      <c r="E10" s="48" t="s">
        <v>299</v>
      </c>
      <c r="F10" s="48" t="s">
        <v>300</v>
      </c>
      <c r="G10" s="48" t="s">
        <v>301</v>
      </c>
      <c r="H10" s="48" t="s">
        <v>302</v>
      </c>
      <c r="I10" s="48" t="s">
        <v>303</v>
      </c>
      <c r="J10" s="48" t="s">
        <v>304</v>
      </c>
      <c r="K10" s="48" t="s">
        <v>305</v>
      </c>
      <c r="L10" s="48" t="s">
        <v>306</v>
      </c>
      <c r="M10" s="48" t="s">
        <v>307</v>
      </c>
      <c r="N10" s="48" t="s">
        <v>308</v>
      </c>
      <c r="O10" s="62" t="s">
        <v>309</v>
      </c>
      <c r="P10" s="41"/>
      <c r="Q10" s="41"/>
    </row>
    <row r="11" spans="2:28" ht="16.5">
      <c r="B11" s="698"/>
      <c r="C11" s="49" t="s">
        <v>368</v>
      </c>
      <c r="D11" s="50"/>
      <c r="E11" s="51"/>
      <c r="F11" s="51"/>
      <c r="G11" s="51"/>
      <c r="H11" s="51"/>
      <c r="I11" s="51"/>
      <c r="J11" s="51"/>
      <c r="K11" s="51"/>
      <c r="L11" s="51"/>
      <c r="M11" s="51"/>
      <c r="N11" s="51"/>
      <c r="O11" s="63"/>
      <c r="P11" s="41"/>
      <c r="Q11" s="41"/>
    </row>
    <row r="12" spans="2:28" ht="16.5">
      <c r="B12" s="699"/>
      <c r="C12" s="52" t="s">
        <v>369</v>
      </c>
      <c r="D12" s="53"/>
      <c r="E12" s="54"/>
      <c r="F12" s="54"/>
      <c r="G12" s="54"/>
      <c r="H12" s="54"/>
      <c r="I12" s="54"/>
      <c r="J12" s="54"/>
      <c r="K12" s="54"/>
      <c r="L12" s="54"/>
      <c r="M12" s="54"/>
      <c r="N12" s="54"/>
      <c r="O12" s="64"/>
      <c r="P12" s="41"/>
      <c r="Q12" s="41"/>
    </row>
    <row r="13" spans="2:28" ht="16.5">
      <c r="B13" s="698"/>
      <c r="C13" s="49" t="s">
        <v>368</v>
      </c>
      <c r="D13" s="50"/>
      <c r="E13" s="51"/>
      <c r="F13" s="51"/>
      <c r="G13" s="51"/>
      <c r="H13" s="51"/>
      <c r="I13" s="51"/>
      <c r="J13" s="51"/>
      <c r="K13" s="51"/>
      <c r="L13" s="51"/>
      <c r="M13" s="51"/>
      <c r="N13" s="51"/>
      <c r="O13" s="63"/>
      <c r="P13" s="41"/>
      <c r="Q13" s="41"/>
    </row>
    <row r="14" spans="2:28" ht="16.5">
      <c r="B14" s="699"/>
      <c r="C14" s="52" t="s">
        <v>369</v>
      </c>
      <c r="D14" s="53"/>
      <c r="E14" s="54"/>
      <c r="F14" s="54"/>
      <c r="G14" s="54"/>
      <c r="H14" s="54"/>
      <c r="I14" s="54"/>
      <c r="J14" s="54"/>
      <c r="K14" s="54"/>
      <c r="L14" s="54"/>
      <c r="M14" s="54"/>
      <c r="N14" s="54"/>
      <c r="O14" s="64"/>
      <c r="P14" s="41"/>
      <c r="Q14" s="41"/>
    </row>
    <row r="15" spans="2:28" ht="16.5">
      <c r="B15" s="698"/>
      <c r="C15" s="49" t="s">
        <v>368</v>
      </c>
      <c r="D15" s="50"/>
      <c r="E15" s="51"/>
      <c r="F15" s="51"/>
      <c r="G15" s="51"/>
      <c r="H15" s="51"/>
      <c r="I15" s="51"/>
      <c r="J15" s="51"/>
      <c r="K15" s="51"/>
      <c r="L15" s="51"/>
      <c r="M15" s="51"/>
      <c r="N15" s="51"/>
      <c r="O15" s="63"/>
      <c r="P15" s="41"/>
      <c r="Q15" s="41"/>
    </row>
    <row r="16" spans="2:28" ht="16.5">
      <c r="B16" s="699"/>
      <c r="C16" s="52" t="s">
        <v>369</v>
      </c>
      <c r="D16" s="53"/>
      <c r="E16" s="54"/>
      <c r="F16" s="54"/>
      <c r="G16" s="54"/>
      <c r="H16" s="54"/>
      <c r="I16" s="54"/>
      <c r="J16" s="54"/>
      <c r="K16" s="54"/>
      <c r="L16" s="54"/>
      <c r="M16" s="54"/>
      <c r="N16" s="54"/>
      <c r="O16" s="64"/>
      <c r="P16" s="41"/>
      <c r="Q16" s="41"/>
    </row>
    <row r="17" spans="2:17" ht="16.5">
      <c r="B17" s="698"/>
      <c r="C17" s="49" t="s">
        <v>368</v>
      </c>
      <c r="D17" s="50"/>
      <c r="E17" s="51"/>
      <c r="F17" s="51"/>
      <c r="G17" s="51"/>
      <c r="H17" s="51"/>
      <c r="I17" s="51"/>
      <c r="J17" s="51"/>
      <c r="K17" s="51"/>
      <c r="L17" s="51"/>
      <c r="M17" s="51"/>
      <c r="N17" s="51"/>
      <c r="O17" s="63"/>
      <c r="P17" s="41"/>
      <c r="Q17" s="41"/>
    </row>
    <row r="18" spans="2:17" ht="16.5">
      <c r="B18" s="699"/>
      <c r="C18" s="52" t="s">
        <v>369</v>
      </c>
      <c r="D18" s="53"/>
      <c r="E18" s="54"/>
      <c r="F18" s="54"/>
      <c r="G18" s="54"/>
      <c r="H18" s="54"/>
      <c r="I18" s="54"/>
      <c r="J18" s="54"/>
      <c r="K18" s="54"/>
      <c r="L18" s="54"/>
      <c r="M18" s="54"/>
      <c r="N18" s="54"/>
      <c r="O18" s="64"/>
      <c r="P18" s="41"/>
      <c r="Q18" s="41"/>
    </row>
    <row r="19" spans="2:17" ht="16.5">
      <c r="B19" s="698"/>
      <c r="C19" s="49" t="s">
        <v>368</v>
      </c>
      <c r="D19" s="50"/>
      <c r="E19" s="51"/>
      <c r="F19" s="51"/>
      <c r="G19" s="51"/>
      <c r="H19" s="51"/>
      <c r="I19" s="51"/>
      <c r="J19" s="51"/>
      <c r="K19" s="51"/>
      <c r="L19" s="51"/>
      <c r="M19" s="51"/>
      <c r="N19" s="51"/>
      <c r="O19" s="63"/>
      <c r="P19" s="41"/>
      <c r="Q19" s="41"/>
    </row>
    <row r="20" spans="2:17" ht="16.5">
      <c r="B20" s="699"/>
      <c r="C20" s="52" t="s">
        <v>369</v>
      </c>
      <c r="D20" s="53"/>
      <c r="E20" s="54"/>
      <c r="F20" s="54"/>
      <c r="G20" s="54"/>
      <c r="H20" s="54"/>
      <c r="I20" s="54"/>
      <c r="J20" s="54"/>
      <c r="K20" s="54"/>
      <c r="L20" s="54"/>
      <c r="M20" s="54"/>
      <c r="N20" s="54"/>
      <c r="O20" s="64"/>
      <c r="P20" s="41"/>
      <c r="Q20" s="41"/>
    </row>
    <row r="21" spans="2:17" ht="16.5">
      <c r="B21" s="698"/>
      <c r="C21" s="49" t="s">
        <v>368</v>
      </c>
      <c r="D21" s="50"/>
      <c r="E21" s="51"/>
      <c r="F21" s="51"/>
      <c r="G21" s="51"/>
      <c r="H21" s="51"/>
      <c r="I21" s="51"/>
      <c r="J21" s="51"/>
      <c r="K21" s="51"/>
      <c r="L21" s="51"/>
      <c r="M21" s="51"/>
      <c r="N21" s="51"/>
      <c r="O21" s="63"/>
      <c r="P21" s="41"/>
      <c r="Q21" s="41"/>
    </row>
    <row r="22" spans="2:17" ht="16.5">
      <c r="B22" s="699"/>
      <c r="C22" s="52" t="s">
        <v>369</v>
      </c>
      <c r="D22" s="53"/>
      <c r="E22" s="54"/>
      <c r="F22" s="54"/>
      <c r="G22" s="54"/>
      <c r="H22" s="54"/>
      <c r="I22" s="54"/>
      <c r="J22" s="54"/>
      <c r="K22" s="54"/>
      <c r="L22" s="54"/>
      <c r="M22" s="54"/>
      <c r="N22" s="54"/>
      <c r="O22" s="64"/>
      <c r="P22" s="41"/>
      <c r="Q22" s="41"/>
    </row>
    <row r="23" spans="2:17" ht="16.5">
      <c r="B23" s="698"/>
      <c r="C23" s="49" t="s">
        <v>368</v>
      </c>
      <c r="D23" s="50"/>
      <c r="E23" s="51"/>
      <c r="F23" s="51"/>
      <c r="G23" s="51"/>
      <c r="H23" s="51"/>
      <c r="I23" s="51"/>
      <c r="J23" s="51"/>
      <c r="K23" s="51"/>
      <c r="L23" s="51"/>
      <c r="M23" s="51"/>
      <c r="N23" s="51"/>
      <c r="O23" s="63"/>
      <c r="P23" s="41"/>
      <c r="Q23" s="41"/>
    </row>
    <row r="24" spans="2:17" ht="16.5">
      <c r="B24" s="699"/>
      <c r="C24" s="52" t="s">
        <v>369</v>
      </c>
      <c r="D24" s="53"/>
      <c r="E24" s="54"/>
      <c r="F24" s="54"/>
      <c r="G24" s="54"/>
      <c r="H24" s="54"/>
      <c r="I24" s="54"/>
      <c r="J24" s="54"/>
      <c r="K24" s="54"/>
      <c r="L24" s="54"/>
      <c r="M24" s="54"/>
      <c r="N24" s="54"/>
      <c r="O24" s="64"/>
      <c r="P24" s="41"/>
      <c r="Q24" s="41"/>
    </row>
    <row r="25" spans="2:17" ht="16.5">
      <c r="B25" s="698"/>
      <c r="C25" s="49" t="s">
        <v>368</v>
      </c>
      <c r="D25" s="50"/>
      <c r="E25" s="51"/>
      <c r="F25" s="51"/>
      <c r="G25" s="51"/>
      <c r="H25" s="51"/>
      <c r="I25" s="51"/>
      <c r="J25" s="51"/>
      <c r="K25" s="51"/>
      <c r="L25" s="51"/>
      <c r="M25" s="51"/>
      <c r="N25" s="51"/>
      <c r="O25" s="63"/>
      <c r="P25" s="41"/>
      <c r="Q25" s="41"/>
    </row>
    <row r="26" spans="2:17" ht="16.5">
      <c r="B26" s="699"/>
      <c r="C26" s="52" t="s">
        <v>369</v>
      </c>
      <c r="D26" s="53"/>
      <c r="E26" s="54"/>
      <c r="F26" s="54"/>
      <c r="G26" s="54"/>
      <c r="H26" s="54"/>
      <c r="I26" s="54"/>
      <c r="J26" s="54"/>
      <c r="K26" s="54"/>
      <c r="L26" s="54"/>
      <c r="M26" s="54"/>
      <c r="N26" s="54"/>
      <c r="O26" s="64"/>
      <c r="P26" s="41"/>
      <c r="Q26" s="41"/>
    </row>
    <row r="27" spans="2:17" ht="16.5">
      <c r="B27" s="698"/>
      <c r="C27" s="49" t="s">
        <v>368</v>
      </c>
      <c r="D27" s="50"/>
      <c r="E27" s="51"/>
      <c r="F27" s="51"/>
      <c r="G27" s="51"/>
      <c r="H27" s="51"/>
      <c r="I27" s="51"/>
      <c r="J27" s="51"/>
      <c r="K27" s="51"/>
      <c r="L27" s="51"/>
      <c r="M27" s="51"/>
      <c r="N27" s="51"/>
      <c r="O27" s="63"/>
      <c r="P27" s="41"/>
      <c r="Q27" s="41"/>
    </row>
    <row r="28" spans="2:17" ht="16.5">
      <c r="B28" s="699"/>
      <c r="C28" s="52" t="s">
        <v>369</v>
      </c>
      <c r="D28" s="53"/>
      <c r="E28" s="54"/>
      <c r="F28" s="54"/>
      <c r="G28" s="54"/>
      <c r="H28" s="54"/>
      <c r="I28" s="54"/>
      <c r="J28" s="54"/>
      <c r="K28" s="54"/>
      <c r="L28" s="54"/>
      <c r="M28" s="54"/>
      <c r="N28" s="54"/>
      <c r="O28" s="64"/>
      <c r="P28" s="41"/>
      <c r="Q28" s="41"/>
    </row>
    <row r="29" spans="2:17" ht="16.5">
      <c r="B29" s="698"/>
      <c r="C29" s="49" t="s">
        <v>368</v>
      </c>
      <c r="D29" s="50"/>
      <c r="E29" s="51"/>
      <c r="F29" s="51"/>
      <c r="G29" s="51"/>
      <c r="H29" s="51"/>
      <c r="I29" s="51"/>
      <c r="J29" s="51"/>
      <c r="K29" s="51"/>
      <c r="L29" s="51"/>
      <c r="M29" s="51"/>
      <c r="N29" s="51"/>
      <c r="O29" s="63"/>
      <c r="P29" s="41"/>
      <c r="Q29" s="41"/>
    </row>
    <row r="30" spans="2:17" ht="16.5">
      <c r="B30" s="699"/>
      <c r="C30" s="52" t="s">
        <v>369</v>
      </c>
      <c r="D30" s="53"/>
      <c r="E30" s="54"/>
      <c r="F30" s="54"/>
      <c r="G30" s="54"/>
      <c r="H30" s="54"/>
      <c r="I30" s="54"/>
      <c r="J30" s="54"/>
      <c r="K30" s="54"/>
      <c r="L30" s="54"/>
      <c r="M30" s="54"/>
      <c r="N30" s="54"/>
      <c r="O30" s="64"/>
      <c r="P30" s="41"/>
      <c r="Q30" s="41"/>
    </row>
    <row r="31" spans="2:17" ht="16.5">
      <c r="B31" s="698"/>
      <c r="C31" s="49" t="s">
        <v>368</v>
      </c>
      <c r="D31" s="50"/>
      <c r="E31" s="51"/>
      <c r="F31" s="51"/>
      <c r="G31" s="51"/>
      <c r="H31" s="51"/>
      <c r="I31" s="51"/>
      <c r="J31" s="51"/>
      <c r="K31" s="51"/>
      <c r="L31" s="51"/>
      <c r="M31" s="51"/>
      <c r="N31" s="51"/>
      <c r="O31" s="63"/>
      <c r="P31" s="41"/>
      <c r="Q31" s="41"/>
    </row>
    <row r="32" spans="2:17" ht="16.5">
      <c r="B32" s="699"/>
      <c r="C32" s="52" t="s">
        <v>369</v>
      </c>
      <c r="D32" s="53"/>
      <c r="E32" s="54"/>
      <c r="F32" s="54"/>
      <c r="G32" s="54"/>
      <c r="H32" s="54"/>
      <c r="I32" s="54"/>
      <c r="J32" s="54"/>
      <c r="K32" s="54"/>
      <c r="L32" s="54"/>
      <c r="M32" s="54"/>
      <c r="N32" s="54"/>
      <c r="O32" s="64"/>
      <c r="P32" s="41"/>
      <c r="Q32" s="41"/>
    </row>
    <row r="33" spans="2:17" ht="16.5">
      <c r="B33" s="698"/>
      <c r="C33" s="49" t="s">
        <v>368</v>
      </c>
      <c r="D33" s="50"/>
      <c r="E33" s="51"/>
      <c r="F33" s="51"/>
      <c r="G33" s="51"/>
      <c r="H33" s="51"/>
      <c r="I33" s="51"/>
      <c r="J33" s="51"/>
      <c r="K33" s="51"/>
      <c r="L33" s="51"/>
      <c r="M33" s="51"/>
      <c r="N33" s="51"/>
      <c r="O33" s="63"/>
      <c r="P33" s="41"/>
      <c r="Q33" s="41"/>
    </row>
    <row r="34" spans="2:17" ht="16.5">
      <c r="B34" s="699"/>
      <c r="C34" s="52" t="s">
        <v>369</v>
      </c>
      <c r="D34" s="53"/>
      <c r="E34" s="54"/>
      <c r="F34" s="54"/>
      <c r="G34" s="54"/>
      <c r="H34" s="54"/>
      <c r="I34" s="54"/>
      <c r="J34" s="54"/>
      <c r="K34" s="54"/>
      <c r="L34" s="54"/>
      <c r="M34" s="54"/>
      <c r="N34" s="54"/>
      <c r="O34" s="64"/>
      <c r="P34" s="41"/>
      <c r="Q34" s="41"/>
    </row>
    <row r="35" spans="2:17" ht="16.5">
      <c r="B35" s="698"/>
      <c r="C35" s="49" t="s">
        <v>368</v>
      </c>
      <c r="D35" s="50"/>
      <c r="E35" s="51"/>
      <c r="F35" s="51"/>
      <c r="G35" s="51"/>
      <c r="H35" s="51"/>
      <c r="I35" s="51"/>
      <c r="J35" s="51"/>
      <c r="K35" s="51"/>
      <c r="L35" s="51"/>
      <c r="M35" s="51"/>
      <c r="N35" s="51"/>
      <c r="O35" s="63"/>
      <c r="P35" s="41"/>
      <c r="Q35" s="41"/>
    </row>
    <row r="36" spans="2:17" ht="16.5">
      <c r="B36" s="699"/>
      <c r="C36" s="52" t="s">
        <v>369</v>
      </c>
      <c r="D36" s="53"/>
      <c r="E36" s="54"/>
      <c r="F36" s="54"/>
      <c r="G36" s="54"/>
      <c r="H36" s="54"/>
      <c r="I36" s="54"/>
      <c r="J36" s="54"/>
      <c r="K36" s="54"/>
      <c r="L36" s="54"/>
      <c r="M36" s="54"/>
      <c r="N36" s="54"/>
      <c r="O36" s="64"/>
      <c r="P36" s="41"/>
      <c r="Q36" s="41"/>
    </row>
    <row r="37" spans="2:17" ht="16.5">
      <c r="B37" s="698"/>
      <c r="C37" s="49" t="s">
        <v>368</v>
      </c>
      <c r="D37" s="50"/>
      <c r="E37" s="51"/>
      <c r="F37" s="51"/>
      <c r="G37" s="51"/>
      <c r="H37" s="51"/>
      <c r="I37" s="51"/>
      <c r="J37" s="51"/>
      <c r="K37" s="51"/>
      <c r="L37" s="51"/>
      <c r="M37" s="51"/>
      <c r="N37" s="51"/>
      <c r="O37" s="63"/>
      <c r="P37" s="41"/>
      <c r="Q37" s="41"/>
    </row>
    <row r="38" spans="2:17" ht="16.5">
      <c r="B38" s="699"/>
      <c r="C38" s="52" t="s">
        <v>369</v>
      </c>
      <c r="D38" s="53"/>
      <c r="E38" s="54"/>
      <c r="F38" s="54"/>
      <c r="G38" s="54"/>
      <c r="H38" s="54"/>
      <c r="I38" s="54"/>
      <c r="J38" s="54"/>
      <c r="K38" s="54"/>
      <c r="L38" s="54"/>
      <c r="M38" s="54"/>
      <c r="N38" s="54"/>
      <c r="O38" s="64"/>
      <c r="P38" s="41"/>
      <c r="Q38" s="41"/>
    </row>
    <row r="39" spans="2:17" ht="16.5">
      <c r="B39" s="698"/>
      <c r="C39" s="49" t="s">
        <v>368</v>
      </c>
      <c r="D39" s="50"/>
      <c r="E39" s="51"/>
      <c r="F39" s="51"/>
      <c r="G39" s="51"/>
      <c r="H39" s="51"/>
      <c r="I39" s="51"/>
      <c r="J39" s="51"/>
      <c r="K39" s="51"/>
      <c r="L39" s="51"/>
      <c r="M39" s="51"/>
      <c r="N39" s="51"/>
      <c r="O39" s="63"/>
      <c r="P39" s="41"/>
      <c r="Q39" s="41"/>
    </row>
    <row r="40" spans="2:17" ht="16.5">
      <c r="B40" s="699"/>
      <c r="C40" s="52" t="s">
        <v>369</v>
      </c>
      <c r="D40" s="53"/>
      <c r="E40" s="54"/>
      <c r="F40" s="54"/>
      <c r="G40" s="54"/>
      <c r="H40" s="54"/>
      <c r="I40" s="54"/>
      <c r="J40" s="54"/>
      <c r="K40" s="54"/>
      <c r="L40" s="54"/>
      <c r="M40" s="54"/>
      <c r="N40" s="54"/>
      <c r="O40" s="64"/>
      <c r="P40" s="41"/>
      <c r="Q40" s="41"/>
    </row>
    <row r="41" spans="2:17" ht="16.5">
      <c r="B41" s="698"/>
      <c r="C41" s="49" t="s">
        <v>368</v>
      </c>
      <c r="D41" s="50"/>
      <c r="E41" s="51"/>
      <c r="F41" s="51"/>
      <c r="G41" s="51"/>
      <c r="H41" s="51"/>
      <c r="I41" s="51"/>
      <c r="J41" s="51"/>
      <c r="K41" s="51"/>
      <c r="L41" s="51"/>
      <c r="M41" s="51"/>
      <c r="N41" s="51"/>
      <c r="O41" s="63"/>
      <c r="P41" s="41"/>
      <c r="Q41" s="41"/>
    </row>
    <row r="42" spans="2:17" ht="16.5">
      <c r="B42" s="700"/>
      <c r="C42" s="55" t="s">
        <v>369</v>
      </c>
      <c r="D42" s="56"/>
      <c r="E42" s="57"/>
      <c r="F42" s="57"/>
      <c r="G42" s="57"/>
      <c r="H42" s="57"/>
      <c r="I42" s="57"/>
      <c r="J42" s="57"/>
      <c r="K42" s="57"/>
      <c r="L42" s="57"/>
      <c r="M42" s="57"/>
      <c r="N42" s="57"/>
      <c r="O42" s="65"/>
      <c r="P42" s="41"/>
      <c r="Q42" s="41"/>
    </row>
    <row r="43" spans="2:17" ht="15.75" customHeight="1">
      <c r="B43" s="58"/>
      <c r="C43" s="58"/>
      <c r="D43" s="58"/>
      <c r="E43" s="58"/>
      <c r="F43" s="58"/>
      <c r="G43" s="58"/>
      <c r="H43" s="58"/>
      <c r="I43" s="58"/>
      <c r="J43" s="58"/>
      <c r="K43" s="58"/>
      <c r="L43" s="58"/>
      <c r="M43" s="58"/>
      <c r="N43" s="58"/>
      <c r="O43" s="58"/>
      <c r="P43" s="41"/>
      <c r="Q43" s="41"/>
    </row>
    <row r="44" spans="2:17" ht="15.75" customHeight="1">
      <c r="B44" s="58"/>
      <c r="C44" s="58"/>
      <c r="D44" s="58"/>
      <c r="E44" s="58"/>
      <c r="F44" s="58"/>
      <c r="G44" s="58"/>
      <c r="H44" s="58"/>
      <c r="I44" s="58"/>
      <c r="J44" s="58"/>
      <c r="K44" s="58"/>
      <c r="L44" s="58"/>
      <c r="M44" s="58"/>
      <c r="N44" s="58"/>
      <c r="O44" s="58"/>
      <c r="P44" s="41"/>
      <c r="Q44" s="41"/>
    </row>
    <row r="45" spans="2:17" s="38" customFormat="1" ht="21" customHeight="1">
      <c r="B45" s="692" t="s">
        <v>370</v>
      </c>
      <c r="C45" s="693"/>
      <c r="D45" s="694" t="s">
        <v>41</v>
      </c>
      <c r="E45" s="694"/>
      <c r="F45" s="694"/>
      <c r="G45" s="694"/>
      <c r="H45" s="694"/>
      <c r="I45" s="694"/>
      <c r="J45" s="694"/>
      <c r="K45" s="694"/>
      <c r="L45" s="694"/>
      <c r="M45" s="695" t="s">
        <v>42</v>
      </c>
      <c r="N45" s="696"/>
      <c r="O45" s="697"/>
      <c r="P45" s="61"/>
      <c r="Q45" s="61"/>
    </row>
    <row r="46" spans="2:17" ht="16.5">
      <c r="B46" s="629" t="s">
        <v>43</v>
      </c>
      <c r="C46" s="631"/>
      <c r="D46" s="632"/>
      <c r="E46" s="633"/>
      <c r="F46" s="633"/>
      <c r="G46" s="633"/>
      <c r="H46" s="633"/>
      <c r="I46" s="633"/>
      <c r="J46" s="633"/>
      <c r="K46" s="633"/>
      <c r="L46" s="634"/>
      <c r="M46" s="635"/>
      <c r="N46" s="636"/>
      <c r="O46" s="637"/>
      <c r="P46" s="41"/>
      <c r="Q46" s="41"/>
    </row>
    <row r="47" spans="2:17" ht="16.5">
      <c r="B47" s="629" t="s">
        <v>315</v>
      </c>
      <c r="C47" s="631"/>
      <c r="D47" s="632"/>
      <c r="E47" s="633"/>
      <c r="F47" s="633"/>
      <c r="G47" s="633"/>
      <c r="H47" s="633"/>
      <c r="I47" s="633"/>
      <c r="J47" s="633"/>
      <c r="K47" s="633"/>
      <c r="L47" s="634"/>
      <c r="M47" s="635"/>
      <c r="N47" s="636"/>
      <c r="O47" s="637"/>
      <c r="P47" s="41"/>
      <c r="Q47" s="41"/>
    </row>
    <row r="48" spans="2:17" ht="16.5">
      <c r="B48" s="629" t="s">
        <v>46</v>
      </c>
      <c r="C48" s="631"/>
      <c r="D48" s="632"/>
      <c r="E48" s="633"/>
      <c r="F48" s="633"/>
      <c r="G48" s="633"/>
      <c r="H48" s="633"/>
      <c r="I48" s="633"/>
      <c r="J48" s="633"/>
      <c r="K48" s="633"/>
      <c r="L48" s="634"/>
      <c r="M48" s="635"/>
      <c r="N48" s="636"/>
      <c r="O48" s="637"/>
      <c r="P48" s="41"/>
      <c r="Q48" s="41"/>
    </row>
    <row r="49" spans="2:17" ht="16.5">
      <c r="B49" s="58"/>
      <c r="C49" s="58"/>
      <c r="D49" s="58"/>
      <c r="E49" s="58"/>
      <c r="F49" s="58"/>
      <c r="G49" s="58"/>
      <c r="H49" s="58"/>
      <c r="I49" s="58"/>
      <c r="J49" s="58"/>
      <c r="K49" s="58"/>
      <c r="L49" s="58"/>
      <c r="M49" s="66" t="s">
        <v>47</v>
      </c>
      <c r="N49" s="58"/>
      <c r="O49" s="58"/>
      <c r="P49" s="41"/>
      <c r="Q49" s="41"/>
    </row>
    <row r="50" spans="2:17" ht="26.25" customHeight="1">
      <c r="B50" s="701" t="s">
        <v>371</v>
      </c>
      <c r="C50" s="701"/>
      <c r="D50" s="701"/>
      <c r="E50" s="701"/>
      <c r="F50" s="701"/>
      <c r="G50" s="701"/>
      <c r="H50" s="701"/>
      <c r="I50" s="701"/>
      <c r="J50" s="701"/>
      <c r="K50" s="701"/>
      <c r="L50" s="701"/>
      <c r="M50" s="701"/>
      <c r="N50" s="701"/>
      <c r="O50" s="701"/>
      <c r="P50" s="41"/>
      <c r="Q50" s="41"/>
    </row>
    <row r="51" spans="2:17" ht="15.75" customHeight="1">
      <c r="B51" s="41"/>
      <c r="C51" s="41"/>
      <c r="D51" s="41"/>
      <c r="E51" s="41"/>
      <c r="F51" s="41"/>
      <c r="G51" s="41"/>
      <c r="H51" s="41"/>
      <c r="I51" s="41"/>
      <c r="J51" s="41"/>
      <c r="K51" s="41"/>
      <c r="L51" s="41"/>
      <c r="M51" s="41"/>
      <c r="N51" s="41"/>
      <c r="O51" s="41"/>
      <c r="P51" s="41"/>
      <c r="Q51" s="41"/>
    </row>
    <row r="52" spans="2:17" ht="15.75" customHeight="1">
      <c r="B52" s="41"/>
      <c r="C52" s="41"/>
      <c r="D52" s="41"/>
      <c r="E52" s="41"/>
      <c r="F52" s="41"/>
      <c r="G52" s="41"/>
      <c r="H52" s="41"/>
      <c r="I52" s="41"/>
      <c r="J52" s="41"/>
      <c r="K52" s="41"/>
      <c r="L52" s="41"/>
      <c r="M52" s="41"/>
      <c r="N52" s="41"/>
      <c r="O52" s="41"/>
      <c r="P52" s="41"/>
      <c r="Q52" s="41"/>
    </row>
    <row r="53" spans="2:17" ht="15.75" customHeight="1">
      <c r="B53" s="41"/>
      <c r="C53" s="41"/>
      <c r="D53" s="41"/>
      <c r="E53" s="41"/>
      <c r="F53" s="41"/>
      <c r="G53" s="41"/>
      <c r="H53" s="41"/>
      <c r="I53" s="41"/>
      <c r="J53" s="41"/>
      <c r="K53" s="41"/>
      <c r="L53" s="41"/>
      <c r="M53" s="41"/>
      <c r="N53" s="41"/>
      <c r="O53" s="41"/>
      <c r="P53" s="41"/>
      <c r="Q53" s="41"/>
    </row>
    <row r="54" spans="2:17" ht="15.75" customHeight="1">
      <c r="B54" s="41"/>
      <c r="C54" s="41"/>
      <c r="D54" s="41"/>
      <c r="E54" s="41"/>
      <c r="F54" s="41"/>
      <c r="G54" s="41"/>
      <c r="H54" s="41"/>
      <c r="I54" s="41"/>
      <c r="J54" s="41"/>
      <c r="K54" s="41"/>
      <c r="L54" s="41"/>
      <c r="M54" s="41"/>
      <c r="N54" s="41"/>
      <c r="O54" s="41"/>
      <c r="P54" s="41"/>
      <c r="Q54" s="41"/>
    </row>
    <row r="55" spans="2:17" ht="15.75" customHeight="1">
      <c r="B55" s="41"/>
      <c r="C55" s="41"/>
      <c r="D55" s="41"/>
      <c r="E55" s="41"/>
      <c r="F55" s="41"/>
      <c r="G55" s="41"/>
      <c r="H55" s="41"/>
      <c r="I55" s="41"/>
      <c r="J55" s="41"/>
      <c r="K55" s="41"/>
      <c r="L55" s="41"/>
      <c r="M55" s="41"/>
      <c r="N55" s="41"/>
      <c r="O55" s="41"/>
      <c r="P55" s="41"/>
      <c r="Q55" s="41"/>
    </row>
    <row r="56" spans="2:17" ht="15.75" customHeight="1">
      <c r="B56" s="41"/>
      <c r="C56" s="41"/>
      <c r="D56" s="41"/>
      <c r="E56" s="41"/>
      <c r="F56" s="41"/>
      <c r="G56" s="41"/>
      <c r="H56" s="41"/>
      <c r="I56" s="41"/>
      <c r="J56" s="41"/>
      <c r="K56" s="41"/>
      <c r="L56" s="41"/>
      <c r="M56" s="41"/>
      <c r="N56" s="41"/>
      <c r="O56" s="41"/>
      <c r="P56" s="41"/>
      <c r="Q56" s="41"/>
    </row>
    <row r="57" spans="2:17" ht="15.75" customHeight="1">
      <c r="B57" s="41"/>
      <c r="C57" s="41"/>
      <c r="D57" s="41"/>
      <c r="E57" s="41"/>
      <c r="F57" s="41"/>
      <c r="G57" s="41"/>
      <c r="H57" s="41"/>
      <c r="I57" s="41"/>
      <c r="J57" s="41"/>
      <c r="K57" s="41"/>
      <c r="L57" s="41"/>
      <c r="M57" s="41"/>
      <c r="N57" s="41"/>
      <c r="O57" s="41"/>
      <c r="P57" s="41"/>
      <c r="Q57" s="41"/>
    </row>
    <row r="58" spans="2:17" ht="15.75" customHeight="1">
      <c r="B58" s="41"/>
      <c r="C58" s="41"/>
      <c r="D58" s="41"/>
      <c r="E58" s="41"/>
      <c r="F58" s="41"/>
      <c r="G58" s="41"/>
      <c r="H58" s="41"/>
      <c r="I58" s="41"/>
      <c r="J58" s="41"/>
      <c r="K58" s="41"/>
      <c r="L58" s="41"/>
      <c r="M58" s="41"/>
      <c r="N58" s="41"/>
      <c r="O58" s="41"/>
      <c r="P58" s="41"/>
      <c r="Q58" s="41"/>
    </row>
    <row r="59" spans="2:17" ht="15.75" customHeight="1">
      <c r="B59" s="41"/>
      <c r="C59" s="41"/>
      <c r="D59" s="41"/>
      <c r="E59" s="41"/>
      <c r="F59" s="41"/>
      <c r="G59" s="41"/>
      <c r="H59" s="41"/>
      <c r="I59" s="41"/>
      <c r="J59" s="41"/>
      <c r="K59" s="41"/>
      <c r="L59" s="41"/>
      <c r="M59" s="41"/>
      <c r="N59" s="41"/>
      <c r="O59" s="41"/>
      <c r="P59" s="41"/>
      <c r="Q59" s="41"/>
    </row>
    <row r="60" spans="2:17" ht="15.75" customHeight="1">
      <c r="B60" s="41"/>
      <c r="C60" s="41"/>
      <c r="D60" s="41"/>
      <c r="E60" s="41"/>
      <c r="F60" s="41"/>
      <c r="G60" s="41"/>
      <c r="H60" s="41"/>
      <c r="I60" s="41"/>
      <c r="J60" s="41"/>
      <c r="K60" s="41"/>
      <c r="L60" s="41"/>
      <c r="M60" s="41"/>
      <c r="N60" s="41"/>
      <c r="O60" s="41"/>
      <c r="P60" s="41"/>
      <c r="Q60" s="41"/>
    </row>
    <row r="61" spans="2:17" ht="15.75" customHeight="1">
      <c r="B61" s="41"/>
      <c r="C61" s="41"/>
      <c r="D61" s="41"/>
      <c r="E61" s="41"/>
      <c r="F61" s="41"/>
      <c r="G61" s="41"/>
      <c r="H61" s="41"/>
      <c r="I61" s="41"/>
      <c r="J61" s="41"/>
      <c r="K61" s="41"/>
      <c r="L61" s="41"/>
      <c r="M61" s="41"/>
      <c r="N61" s="41"/>
      <c r="O61" s="41"/>
      <c r="P61" s="41"/>
      <c r="Q61" s="41"/>
    </row>
    <row r="62" spans="2:17" ht="15.75" customHeight="1">
      <c r="B62" s="41"/>
      <c r="C62" s="41"/>
      <c r="D62" s="41"/>
      <c r="E62" s="41"/>
      <c r="F62" s="41"/>
      <c r="G62" s="41"/>
      <c r="H62" s="41"/>
      <c r="I62" s="41"/>
      <c r="J62" s="41"/>
      <c r="K62" s="41"/>
      <c r="L62" s="41"/>
      <c r="M62" s="41"/>
      <c r="N62" s="41"/>
      <c r="O62" s="41"/>
      <c r="P62" s="41"/>
      <c r="Q62" s="41"/>
    </row>
    <row r="63" spans="2:17" ht="15.75" customHeight="1">
      <c r="B63" s="41"/>
      <c r="C63" s="41"/>
      <c r="D63" s="41"/>
      <c r="E63" s="41"/>
      <c r="F63" s="41"/>
      <c r="G63" s="41"/>
      <c r="H63" s="41"/>
      <c r="I63" s="41"/>
      <c r="J63" s="41"/>
      <c r="K63" s="41"/>
      <c r="L63" s="41"/>
      <c r="M63" s="41"/>
      <c r="N63" s="41"/>
      <c r="O63" s="41"/>
      <c r="P63" s="41"/>
      <c r="Q63" s="41"/>
    </row>
    <row r="64" spans="2:17" ht="15.75" customHeight="1">
      <c r="B64" s="41"/>
      <c r="C64" s="41"/>
      <c r="D64" s="41"/>
      <c r="E64" s="41"/>
      <c r="F64" s="41"/>
      <c r="G64" s="41"/>
      <c r="H64" s="41"/>
      <c r="I64" s="41"/>
      <c r="J64" s="41"/>
      <c r="K64" s="41"/>
      <c r="L64" s="41"/>
      <c r="M64" s="41"/>
      <c r="N64" s="41"/>
      <c r="O64" s="41"/>
      <c r="P64" s="41"/>
      <c r="Q64" s="41"/>
    </row>
    <row r="65" spans="2:17" ht="15.75" customHeight="1">
      <c r="B65" s="41"/>
      <c r="C65" s="41"/>
      <c r="D65" s="41"/>
      <c r="E65" s="41"/>
      <c r="F65" s="41"/>
      <c r="G65" s="41"/>
      <c r="H65" s="41"/>
      <c r="I65" s="41"/>
      <c r="J65" s="41"/>
      <c r="K65" s="41"/>
      <c r="L65" s="41"/>
      <c r="M65" s="41"/>
      <c r="N65" s="41"/>
      <c r="O65" s="41"/>
      <c r="P65" s="41"/>
      <c r="Q65" s="41"/>
    </row>
    <row r="66" spans="2:17" ht="15.75" customHeight="1">
      <c r="B66" s="41"/>
      <c r="C66" s="41"/>
      <c r="D66" s="41"/>
      <c r="E66" s="41"/>
      <c r="F66" s="41"/>
      <c r="G66" s="41"/>
      <c r="H66" s="41"/>
      <c r="I66" s="41"/>
      <c r="J66" s="41"/>
      <c r="K66" s="41"/>
      <c r="L66" s="41"/>
      <c r="M66" s="41"/>
      <c r="N66" s="41"/>
      <c r="O66" s="41"/>
      <c r="P66" s="41"/>
      <c r="Q66" s="41"/>
    </row>
    <row r="67" spans="2:17" ht="15.75" customHeight="1">
      <c r="B67" s="41"/>
      <c r="C67" s="41"/>
      <c r="D67" s="41"/>
      <c r="E67" s="41"/>
      <c r="F67" s="41"/>
      <c r="G67" s="41"/>
      <c r="H67" s="41"/>
      <c r="I67" s="41"/>
      <c r="J67" s="41"/>
      <c r="K67" s="41"/>
      <c r="L67" s="41"/>
      <c r="M67" s="41"/>
      <c r="N67" s="41"/>
      <c r="O67" s="41"/>
      <c r="P67" s="41"/>
      <c r="Q67" s="41"/>
    </row>
    <row r="68" spans="2:17" ht="15.75" customHeight="1">
      <c r="B68" s="41"/>
      <c r="C68" s="41"/>
      <c r="D68" s="41"/>
      <c r="E68" s="41"/>
      <c r="F68" s="41"/>
      <c r="G68" s="41"/>
      <c r="H68" s="41"/>
      <c r="I68" s="41"/>
      <c r="J68" s="41"/>
      <c r="K68" s="41"/>
      <c r="L68" s="41"/>
      <c r="M68" s="41"/>
      <c r="N68" s="41"/>
      <c r="O68" s="41"/>
      <c r="P68" s="41"/>
      <c r="Q68" s="41"/>
    </row>
    <row r="69" spans="2:17" ht="15.75" customHeight="1">
      <c r="B69" s="41"/>
      <c r="C69" s="41"/>
      <c r="D69" s="41"/>
      <c r="E69" s="41"/>
      <c r="F69" s="41"/>
      <c r="G69" s="41"/>
      <c r="H69" s="41"/>
      <c r="I69" s="41"/>
      <c r="J69" s="41"/>
      <c r="K69" s="41"/>
      <c r="L69" s="41"/>
      <c r="M69" s="41"/>
      <c r="N69" s="41"/>
      <c r="O69" s="41"/>
      <c r="P69" s="41"/>
      <c r="Q69" s="41"/>
    </row>
    <row r="70" spans="2:17" ht="15.75" customHeight="1">
      <c r="B70" s="41"/>
      <c r="C70" s="41"/>
      <c r="D70" s="41"/>
      <c r="E70" s="41"/>
      <c r="F70" s="41"/>
      <c r="G70" s="41"/>
      <c r="H70" s="41"/>
      <c r="I70" s="41"/>
      <c r="J70" s="41"/>
      <c r="K70" s="41"/>
      <c r="L70" s="41"/>
      <c r="M70" s="41"/>
      <c r="N70" s="41"/>
      <c r="O70" s="41"/>
      <c r="P70" s="41"/>
      <c r="Q70" s="41"/>
    </row>
    <row r="71" spans="2:17" ht="15.75" customHeight="1">
      <c r="B71" s="41"/>
      <c r="C71" s="41"/>
      <c r="D71" s="41"/>
      <c r="E71" s="41"/>
      <c r="F71" s="41"/>
      <c r="G71" s="41"/>
      <c r="H71" s="41"/>
      <c r="I71" s="41"/>
      <c r="J71" s="41"/>
      <c r="K71" s="41"/>
      <c r="L71" s="41"/>
      <c r="M71" s="41"/>
      <c r="N71" s="41"/>
      <c r="O71" s="41"/>
      <c r="P71" s="41"/>
      <c r="Q71" s="41"/>
    </row>
    <row r="72" spans="2:17" ht="15.75" customHeight="1">
      <c r="B72" s="41"/>
      <c r="C72" s="41"/>
      <c r="D72" s="41"/>
      <c r="E72" s="41"/>
      <c r="F72" s="41"/>
      <c r="G72" s="41"/>
      <c r="H72" s="41"/>
      <c r="I72" s="41"/>
      <c r="J72" s="41"/>
      <c r="K72" s="41"/>
      <c r="L72" s="41"/>
      <c r="M72" s="41"/>
      <c r="N72" s="41"/>
      <c r="O72" s="41"/>
      <c r="P72" s="41"/>
      <c r="Q72" s="41"/>
    </row>
    <row r="73" spans="2:17" ht="15.75" customHeight="1">
      <c r="B73" s="41"/>
      <c r="C73" s="41"/>
      <c r="D73" s="41"/>
      <c r="E73" s="41"/>
      <c r="F73" s="41"/>
      <c r="G73" s="41"/>
      <c r="H73" s="41"/>
      <c r="I73" s="41"/>
      <c r="J73" s="41"/>
      <c r="K73" s="41"/>
      <c r="L73" s="41"/>
      <c r="M73" s="41"/>
      <c r="N73" s="41"/>
      <c r="O73" s="41"/>
      <c r="P73" s="41"/>
      <c r="Q73" s="41"/>
    </row>
    <row r="74" spans="2:17" ht="15.75" customHeight="1"/>
    <row r="75" spans="2:17" ht="15.75" customHeight="1"/>
    <row r="76" spans="2:17" ht="15.75" customHeight="1"/>
    <row r="77" spans="2:17" ht="15.75" customHeight="1"/>
    <row r="78" spans="2:17" ht="15.75" customHeight="1"/>
    <row r="79" spans="2:17" ht="15.75" customHeight="1"/>
    <row r="80" spans="2:17"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sheetData>
  <mergeCells count="34">
    <mergeCell ref="B48:C48"/>
    <mergeCell ref="D48:L48"/>
    <mergeCell ref="M48:O48"/>
    <mergeCell ref="B50:O50"/>
    <mergeCell ref="B9:B10"/>
    <mergeCell ref="B11:B12"/>
    <mergeCell ref="B13:B14"/>
    <mergeCell ref="B15:B16"/>
    <mergeCell ref="B17:B18"/>
    <mergeCell ref="B19:B20"/>
    <mergeCell ref="B21:B22"/>
    <mergeCell ref="B23:B24"/>
    <mergeCell ref="B25:B26"/>
    <mergeCell ref="B27:B28"/>
    <mergeCell ref="B29:B30"/>
    <mergeCell ref="B31:B32"/>
    <mergeCell ref="B46:C46"/>
    <mergeCell ref="D46:L46"/>
    <mergeCell ref="M46:O46"/>
    <mergeCell ref="B47:C47"/>
    <mergeCell ref="D47:L47"/>
    <mergeCell ref="M47:O47"/>
    <mergeCell ref="B4:O4"/>
    <mergeCell ref="B5:O5"/>
    <mergeCell ref="D9:O9"/>
    <mergeCell ref="B45:C45"/>
    <mergeCell ref="D45:L45"/>
    <mergeCell ref="M45:O45"/>
    <mergeCell ref="B33:B34"/>
    <mergeCell ref="B35:B36"/>
    <mergeCell ref="B37:B38"/>
    <mergeCell ref="B39:B40"/>
    <mergeCell ref="B41:B42"/>
    <mergeCell ref="C9:C10"/>
  </mergeCells>
  <pageMargins left="0.70866141732283505" right="0.70866141732283505" top="0.74803149606299202" bottom="0.74803149606299202" header="0" footer="0"/>
  <pageSetup scale="37"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sheetPr>
  <dimension ref="B1:WVQ48"/>
  <sheetViews>
    <sheetView showGridLines="0" topLeftCell="A4" zoomScaleSheetLayoutView="90" workbookViewId="0">
      <selection activeCell="J10" sqref="J10:J11"/>
    </sheetView>
  </sheetViews>
  <sheetFormatPr baseColWidth="10" defaultColWidth="11.42578125" defaultRowHeight="15"/>
  <cols>
    <col min="1" max="1" width="4.42578125" customWidth="1"/>
    <col min="2" max="2" width="1.85546875" customWidth="1"/>
    <col min="3" max="3" width="8.5703125" hidden="1" customWidth="1"/>
    <col min="4" max="7" width="19.5703125" customWidth="1"/>
    <col min="8" max="8" width="37" customWidth="1"/>
    <col min="9" max="10" width="35" customWidth="1"/>
    <col min="11" max="11" width="18.42578125" customWidth="1"/>
    <col min="15" max="15" width="19.140625" customWidth="1"/>
    <col min="239" max="239" width="4.42578125" customWidth="1"/>
    <col min="240" max="240" width="1.85546875" customWidth="1"/>
    <col min="241" max="241" width="11.42578125" hidden="1" customWidth="1"/>
    <col min="242" max="242" width="13.28515625" customWidth="1"/>
    <col min="243" max="243" width="17" customWidth="1"/>
    <col min="244" max="244" width="13.28515625" customWidth="1"/>
    <col min="245" max="245" width="6.7109375" customWidth="1"/>
    <col min="246" max="246" width="30.42578125" customWidth="1"/>
    <col min="247" max="247" width="6.7109375" customWidth="1"/>
    <col min="248" max="248" width="7.7109375" customWidth="1"/>
    <col min="249" max="259" width="11.42578125" hidden="1" customWidth="1"/>
    <col min="260" max="264" width="9" customWidth="1"/>
    <col min="265" max="265" width="11.42578125" hidden="1" customWidth="1"/>
    <col min="271" max="271" width="19.140625" customWidth="1"/>
    <col min="495" max="495" width="4.42578125" customWidth="1"/>
    <col min="496" max="496" width="1.85546875" customWidth="1"/>
    <col min="497" max="497" width="11.42578125" hidden="1" customWidth="1"/>
    <col min="498" max="498" width="13.28515625" customWidth="1"/>
    <col min="499" max="499" width="17" customWidth="1"/>
    <col min="500" max="500" width="13.28515625" customWidth="1"/>
    <col min="501" max="501" width="6.7109375" customWidth="1"/>
    <col min="502" max="502" width="30.42578125" customWidth="1"/>
    <col min="503" max="503" width="6.7109375" customWidth="1"/>
    <col min="504" max="504" width="7.7109375" customWidth="1"/>
    <col min="505" max="515" width="11.42578125" hidden="1" customWidth="1"/>
    <col min="516" max="520" width="9" customWidth="1"/>
    <col min="521" max="521" width="11.42578125" hidden="1" customWidth="1"/>
    <col min="527" max="527" width="19.140625" customWidth="1"/>
    <col min="751" max="751" width="4.42578125" customWidth="1"/>
    <col min="752" max="752" width="1.85546875" customWidth="1"/>
    <col min="753" max="753" width="11.42578125" hidden="1" customWidth="1"/>
    <col min="754" max="754" width="13.28515625" customWidth="1"/>
    <col min="755" max="755" width="17" customWidth="1"/>
    <col min="756" max="756" width="13.28515625" customWidth="1"/>
    <col min="757" max="757" width="6.7109375" customWidth="1"/>
    <col min="758" max="758" width="30.42578125" customWidth="1"/>
    <col min="759" max="759" width="6.7109375" customWidth="1"/>
    <col min="760" max="760" width="7.7109375" customWidth="1"/>
    <col min="761" max="771" width="11.42578125" hidden="1" customWidth="1"/>
    <col min="772" max="776" width="9" customWidth="1"/>
    <col min="777" max="777" width="11.42578125" hidden="1" customWidth="1"/>
    <col min="783" max="783" width="19.140625" customWidth="1"/>
    <col min="1007" max="1007" width="4.42578125" customWidth="1"/>
    <col min="1008" max="1008" width="1.85546875" customWidth="1"/>
    <col min="1009" max="1009" width="11.42578125" hidden="1" customWidth="1"/>
    <col min="1010" max="1010" width="13.28515625" customWidth="1"/>
    <col min="1011" max="1011" width="17" customWidth="1"/>
    <col min="1012" max="1012" width="13.28515625" customWidth="1"/>
    <col min="1013" max="1013" width="6.7109375" customWidth="1"/>
    <col min="1014" max="1014" width="30.42578125" customWidth="1"/>
    <col min="1015" max="1015" width="6.7109375" customWidth="1"/>
    <col min="1016" max="1016" width="7.7109375" customWidth="1"/>
    <col min="1017" max="1027" width="11.42578125" hidden="1" customWidth="1"/>
    <col min="1028" max="1032" width="9" customWidth="1"/>
    <col min="1033" max="1033" width="11.42578125" hidden="1" customWidth="1"/>
    <col min="1039" max="1039" width="19.140625" customWidth="1"/>
    <col min="1263" max="1263" width="4.42578125" customWidth="1"/>
    <col min="1264" max="1264" width="1.85546875" customWidth="1"/>
    <col min="1265" max="1265" width="11.42578125" hidden="1" customWidth="1"/>
    <col min="1266" max="1266" width="13.28515625" customWidth="1"/>
    <col min="1267" max="1267" width="17" customWidth="1"/>
    <col min="1268" max="1268" width="13.28515625" customWidth="1"/>
    <col min="1269" max="1269" width="6.7109375" customWidth="1"/>
    <col min="1270" max="1270" width="30.42578125" customWidth="1"/>
    <col min="1271" max="1271" width="6.7109375" customWidth="1"/>
    <col min="1272" max="1272" width="7.7109375" customWidth="1"/>
    <col min="1273" max="1283" width="11.42578125" hidden="1" customWidth="1"/>
    <col min="1284" max="1288" width="9" customWidth="1"/>
    <col min="1289" max="1289" width="11.42578125" hidden="1" customWidth="1"/>
    <col min="1295" max="1295" width="19.140625" customWidth="1"/>
    <col min="1519" max="1519" width="4.42578125" customWidth="1"/>
    <col min="1520" max="1520" width="1.85546875" customWidth="1"/>
    <col min="1521" max="1521" width="11.42578125" hidden="1" customWidth="1"/>
    <col min="1522" max="1522" width="13.28515625" customWidth="1"/>
    <col min="1523" max="1523" width="17" customWidth="1"/>
    <col min="1524" max="1524" width="13.28515625" customWidth="1"/>
    <col min="1525" max="1525" width="6.7109375" customWidth="1"/>
    <col min="1526" max="1526" width="30.42578125" customWidth="1"/>
    <col min="1527" max="1527" width="6.7109375" customWidth="1"/>
    <col min="1528" max="1528" width="7.7109375" customWidth="1"/>
    <col min="1529" max="1539" width="11.42578125" hidden="1" customWidth="1"/>
    <col min="1540" max="1544" width="9" customWidth="1"/>
    <col min="1545" max="1545" width="11.42578125" hidden="1" customWidth="1"/>
    <col min="1551" max="1551" width="19.140625" customWidth="1"/>
    <col min="1775" max="1775" width="4.42578125" customWidth="1"/>
    <col min="1776" max="1776" width="1.85546875" customWidth="1"/>
    <col min="1777" max="1777" width="11.42578125" hidden="1" customWidth="1"/>
    <col min="1778" max="1778" width="13.28515625" customWidth="1"/>
    <col min="1779" max="1779" width="17" customWidth="1"/>
    <col min="1780" max="1780" width="13.28515625" customWidth="1"/>
    <col min="1781" max="1781" width="6.7109375" customWidth="1"/>
    <col min="1782" max="1782" width="30.42578125" customWidth="1"/>
    <col min="1783" max="1783" width="6.7109375" customWidth="1"/>
    <col min="1784" max="1784" width="7.7109375" customWidth="1"/>
    <col min="1785" max="1795" width="11.42578125" hidden="1" customWidth="1"/>
    <col min="1796" max="1800" width="9" customWidth="1"/>
    <col min="1801" max="1801" width="11.42578125" hidden="1" customWidth="1"/>
    <col min="1807" max="1807" width="19.140625" customWidth="1"/>
    <col min="2031" max="2031" width="4.42578125" customWidth="1"/>
    <col min="2032" max="2032" width="1.85546875" customWidth="1"/>
    <col min="2033" max="2033" width="11.42578125" hidden="1" customWidth="1"/>
    <col min="2034" max="2034" width="13.28515625" customWidth="1"/>
    <col min="2035" max="2035" width="17" customWidth="1"/>
    <col min="2036" max="2036" width="13.28515625" customWidth="1"/>
    <col min="2037" max="2037" width="6.7109375" customWidth="1"/>
    <col min="2038" max="2038" width="30.42578125" customWidth="1"/>
    <col min="2039" max="2039" width="6.7109375" customWidth="1"/>
    <col min="2040" max="2040" width="7.7109375" customWidth="1"/>
    <col min="2041" max="2051" width="11.42578125" hidden="1" customWidth="1"/>
    <col min="2052" max="2056" width="9" customWidth="1"/>
    <col min="2057" max="2057" width="11.42578125" hidden="1" customWidth="1"/>
    <col min="2063" max="2063" width="19.140625" customWidth="1"/>
    <col min="2287" max="2287" width="4.42578125" customWidth="1"/>
    <col min="2288" max="2288" width="1.85546875" customWidth="1"/>
    <col min="2289" max="2289" width="11.42578125" hidden="1" customWidth="1"/>
    <col min="2290" max="2290" width="13.28515625" customWidth="1"/>
    <col min="2291" max="2291" width="17" customWidth="1"/>
    <col min="2292" max="2292" width="13.28515625" customWidth="1"/>
    <col min="2293" max="2293" width="6.7109375" customWidth="1"/>
    <col min="2294" max="2294" width="30.42578125" customWidth="1"/>
    <col min="2295" max="2295" width="6.7109375" customWidth="1"/>
    <col min="2296" max="2296" width="7.7109375" customWidth="1"/>
    <col min="2297" max="2307" width="11.42578125" hidden="1" customWidth="1"/>
    <col min="2308" max="2312" width="9" customWidth="1"/>
    <col min="2313" max="2313" width="11.42578125" hidden="1" customWidth="1"/>
    <col min="2319" max="2319" width="19.140625" customWidth="1"/>
    <col min="2543" max="2543" width="4.42578125" customWidth="1"/>
    <col min="2544" max="2544" width="1.85546875" customWidth="1"/>
    <col min="2545" max="2545" width="11.42578125" hidden="1" customWidth="1"/>
    <col min="2546" max="2546" width="13.28515625" customWidth="1"/>
    <col min="2547" max="2547" width="17" customWidth="1"/>
    <col min="2548" max="2548" width="13.28515625" customWidth="1"/>
    <col min="2549" max="2549" width="6.7109375" customWidth="1"/>
    <col min="2550" max="2550" width="30.42578125" customWidth="1"/>
    <col min="2551" max="2551" width="6.7109375" customWidth="1"/>
    <col min="2552" max="2552" width="7.7109375" customWidth="1"/>
    <col min="2553" max="2563" width="11.42578125" hidden="1" customWidth="1"/>
    <col min="2564" max="2568" width="9" customWidth="1"/>
    <col min="2569" max="2569" width="11.42578125" hidden="1" customWidth="1"/>
    <col min="2575" max="2575" width="19.140625" customWidth="1"/>
    <col min="2799" max="2799" width="4.42578125" customWidth="1"/>
    <col min="2800" max="2800" width="1.85546875" customWidth="1"/>
    <col min="2801" max="2801" width="11.42578125" hidden="1" customWidth="1"/>
    <col min="2802" max="2802" width="13.28515625" customWidth="1"/>
    <col min="2803" max="2803" width="17" customWidth="1"/>
    <col min="2804" max="2804" width="13.28515625" customWidth="1"/>
    <col min="2805" max="2805" width="6.7109375" customWidth="1"/>
    <col min="2806" max="2806" width="30.42578125" customWidth="1"/>
    <col min="2807" max="2807" width="6.7109375" customWidth="1"/>
    <col min="2808" max="2808" width="7.7109375" customWidth="1"/>
    <col min="2809" max="2819" width="11.42578125" hidden="1" customWidth="1"/>
    <col min="2820" max="2824" width="9" customWidth="1"/>
    <col min="2825" max="2825" width="11.42578125" hidden="1" customWidth="1"/>
    <col min="2831" max="2831" width="19.140625" customWidth="1"/>
    <col min="3055" max="3055" width="4.42578125" customWidth="1"/>
    <col min="3056" max="3056" width="1.85546875" customWidth="1"/>
    <col min="3057" max="3057" width="11.42578125" hidden="1" customWidth="1"/>
    <col min="3058" max="3058" width="13.28515625" customWidth="1"/>
    <col min="3059" max="3059" width="17" customWidth="1"/>
    <col min="3060" max="3060" width="13.28515625" customWidth="1"/>
    <col min="3061" max="3061" width="6.7109375" customWidth="1"/>
    <col min="3062" max="3062" width="30.42578125" customWidth="1"/>
    <col min="3063" max="3063" width="6.7109375" customWidth="1"/>
    <col min="3064" max="3064" width="7.7109375" customWidth="1"/>
    <col min="3065" max="3075" width="11.42578125" hidden="1" customWidth="1"/>
    <col min="3076" max="3080" width="9" customWidth="1"/>
    <col min="3081" max="3081" width="11.42578125" hidden="1" customWidth="1"/>
    <col min="3087" max="3087" width="19.140625" customWidth="1"/>
    <col min="3311" max="3311" width="4.42578125" customWidth="1"/>
    <col min="3312" max="3312" width="1.85546875" customWidth="1"/>
    <col min="3313" max="3313" width="11.42578125" hidden="1" customWidth="1"/>
    <col min="3314" max="3314" width="13.28515625" customWidth="1"/>
    <col min="3315" max="3315" width="17" customWidth="1"/>
    <col min="3316" max="3316" width="13.28515625" customWidth="1"/>
    <col min="3317" max="3317" width="6.7109375" customWidth="1"/>
    <col min="3318" max="3318" width="30.42578125" customWidth="1"/>
    <col min="3319" max="3319" width="6.7109375" customWidth="1"/>
    <col min="3320" max="3320" width="7.7109375" customWidth="1"/>
    <col min="3321" max="3331" width="11.42578125" hidden="1" customWidth="1"/>
    <col min="3332" max="3336" width="9" customWidth="1"/>
    <col min="3337" max="3337" width="11.42578125" hidden="1" customWidth="1"/>
    <col min="3343" max="3343" width="19.140625" customWidth="1"/>
    <col min="3567" max="3567" width="4.42578125" customWidth="1"/>
    <col min="3568" max="3568" width="1.85546875" customWidth="1"/>
    <col min="3569" max="3569" width="11.42578125" hidden="1" customWidth="1"/>
    <col min="3570" max="3570" width="13.28515625" customWidth="1"/>
    <col min="3571" max="3571" width="17" customWidth="1"/>
    <col min="3572" max="3572" width="13.28515625" customWidth="1"/>
    <col min="3573" max="3573" width="6.7109375" customWidth="1"/>
    <col min="3574" max="3574" width="30.42578125" customWidth="1"/>
    <col min="3575" max="3575" width="6.7109375" customWidth="1"/>
    <col min="3576" max="3576" width="7.7109375" customWidth="1"/>
    <col min="3577" max="3587" width="11.42578125" hidden="1" customWidth="1"/>
    <col min="3588" max="3592" width="9" customWidth="1"/>
    <col min="3593" max="3593" width="11.42578125" hidden="1" customWidth="1"/>
    <col min="3599" max="3599" width="19.140625" customWidth="1"/>
    <col min="3823" max="3823" width="4.42578125" customWidth="1"/>
    <col min="3824" max="3824" width="1.85546875" customWidth="1"/>
    <col min="3825" max="3825" width="11.42578125" hidden="1" customWidth="1"/>
    <col min="3826" max="3826" width="13.28515625" customWidth="1"/>
    <col min="3827" max="3827" width="17" customWidth="1"/>
    <col min="3828" max="3828" width="13.28515625" customWidth="1"/>
    <col min="3829" max="3829" width="6.7109375" customWidth="1"/>
    <col min="3830" max="3830" width="30.42578125" customWidth="1"/>
    <col min="3831" max="3831" width="6.7109375" customWidth="1"/>
    <col min="3832" max="3832" width="7.7109375" customWidth="1"/>
    <col min="3833" max="3843" width="11.42578125" hidden="1" customWidth="1"/>
    <col min="3844" max="3848" width="9" customWidth="1"/>
    <col min="3849" max="3849" width="11.42578125" hidden="1" customWidth="1"/>
    <col min="3855" max="3855" width="19.140625" customWidth="1"/>
    <col min="4079" max="4079" width="4.42578125" customWidth="1"/>
    <col min="4080" max="4080" width="1.85546875" customWidth="1"/>
    <col min="4081" max="4081" width="11.42578125" hidden="1" customWidth="1"/>
    <col min="4082" max="4082" width="13.28515625" customWidth="1"/>
    <col min="4083" max="4083" width="17" customWidth="1"/>
    <col min="4084" max="4084" width="13.28515625" customWidth="1"/>
    <col min="4085" max="4085" width="6.7109375" customWidth="1"/>
    <col min="4086" max="4086" width="30.42578125" customWidth="1"/>
    <col min="4087" max="4087" width="6.7109375" customWidth="1"/>
    <col min="4088" max="4088" width="7.7109375" customWidth="1"/>
    <col min="4089" max="4099" width="11.42578125" hidden="1" customWidth="1"/>
    <col min="4100" max="4104" width="9" customWidth="1"/>
    <col min="4105" max="4105" width="11.42578125" hidden="1" customWidth="1"/>
    <col min="4111" max="4111" width="19.140625" customWidth="1"/>
    <col min="4335" max="4335" width="4.42578125" customWidth="1"/>
    <col min="4336" max="4336" width="1.85546875" customWidth="1"/>
    <col min="4337" max="4337" width="11.42578125" hidden="1" customWidth="1"/>
    <col min="4338" max="4338" width="13.28515625" customWidth="1"/>
    <col min="4339" max="4339" width="17" customWidth="1"/>
    <col min="4340" max="4340" width="13.28515625" customWidth="1"/>
    <col min="4341" max="4341" width="6.7109375" customWidth="1"/>
    <col min="4342" max="4342" width="30.42578125" customWidth="1"/>
    <col min="4343" max="4343" width="6.7109375" customWidth="1"/>
    <col min="4344" max="4344" width="7.7109375" customWidth="1"/>
    <col min="4345" max="4355" width="11.42578125" hidden="1" customWidth="1"/>
    <col min="4356" max="4360" width="9" customWidth="1"/>
    <col min="4361" max="4361" width="11.42578125" hidden="1" customWidth="1"/>
    <col min="4367" max="4367" width="19.140625" customWidth="1"/>
    <col min="4591" max="4591" width="4.42578125" customWidth="1"/>
    <col min="4592" max="4592" width="1.85546875" customWidth="1"/>
    <col min="4593" max="4593" width="11.42578125" hidden="1" customWidth="1"/>
    <col min="4594" max="4594" width="13.28515625" customWidth="1"/>
    <col min="4595" max="4595" width="17" customWidth="1"/>
    <col min="4596" max="4596" width="13.28515625" customWidth="1"/>
    <col min="4597" max="4597" width="6.7109375" customWidth="1"/>
    <col min="4598" max="4598" width="30.42578125" customWidth="1"/>
    <col min="4599" max="4599" width="6.7109375" customWidth="1"/>
    <col min="4600" max="4600" width="7.7109375" customWidth="1"/>
    <col min="4601" max="4611" width="11.42578125" hidden="1" customWidth="1"/>
    <col min="4612" max="4616" width="9" customWidth="1"/>
    <col min="4617" max="4617" width="11.42578125" hidden="1" customWidth="1"/>
    <col min="4623" max="4623" width="19.140625" customWidth="1"/>
    <col min="4847" max="4847" width="4.42578125" customWidth="1"/>
    <col min="4848" max="4848" width="1.85546875" customWidth="1"/>
    <col min="4849" max="4849" width="11.42578125" hidden="1" customWidth="1"/>
    <col min="4850" max="4850" width="13.28515625" customWidth="1"/>
    <col min="4851" max="4851" width="17" customWidth="1"/>
    <col min="4852" max="4852" width="13.28515625" customWidth="1"/>
    <col min="4853" max="4853" width="6.7109375" customWidth="1"/>
    <col min="4854" max="4854" width="30.42578125" customWidth="1"/>
    <col min="4855" max="4855" width="6.7109375" customWidth="1"/>
    <col min="4856" max="4856" width="7.7109375" customWidth="1"/>
    <col min="4857" max="4867" width="11.42578125" hidden="1" customWidth="1"/>
    <col min="4868" max="4872" width="9" customWidth="1"/>
    <col min="4873" max="4873" width="11.42578125" hidden="1" customWidth="1"/>
    <col min="4879" max="4879" width="19.140625" customWidth="1"/>
    <col min="5103" max="5103" width="4.42578125" customWidth="1"/>
    <col min="5104" max="5104" width="1.85546875" customWidth="1"/>
    <col min="5105" max="5105" width="11.42578125" hidden="1" customWidth="1"/>
    <col min="5106" max="5106" width="13.28515625" customWidth="1"/>
    <col min="5107" max="5107" width="17" customWidth="1"/>
    <col min="5108" max="5108" width="13.28515625" customWidth="1"/>
    <col min="5109" max="5109" width="6.7109375" customWidth="1"/>
    <col min="5110" max="5110" width="30.42578125" customWidth="1"/>
    <col min="5111" max="5111" width="6.7109375" customWidth="1"/>
    <col min="5112" max="5112" width="7.7109375" customWidth="1"/>
    <col min="5113" max="5123" width="11.42578125" hidden="1" customWidth="1"/>
    <col min="5124" max="5128" width="9" customWidth="1"/>
    <col min="5129" max="5129" width="11.42578125" hidden="1" customWidth="1"/>
    <col min="5135" max="5135" width="19.140625" customWidth="1"/>
    <col min="5359" max="5359" width="4.42578125" customWidth="1"/>
    <col min="5360" max="5360" width="1.85546875" customWidth="1"/>
    <col min="5361" max="5361" width="11.42578125" hidden="1" customWidth="1"/>
    <col min="5362" max="5362" width="13.28515625" customWidth="1"/>
    <col min="5363" max="5363" width="17" customWidth="1"/>
    <col min="5364" max="5364" width="13.28515625" customWidth="1"/>
    <col min="5365" max="5365" width="6.7109375" customWidth="1"/>
    <col min="5366" max="5366" width="30.42578125" customWidth="1"/>
    <col min="5367" max="5367" width="6.7109375" customWidth="1"/>
    <col min="5368" max="5368" width="7.7109375" customWidth="1"/>
    <col min="5369" max="5379" width="11.42578125" hidden="1" customWidth="1"/>
    <col min="5380" max="5384" width="9" customWidth="1"/>
    <col min="5385" max="5385" width="11.42578125" hidden="1" customWidth="1"/>
    <col min="5391" max="5391" width="19.140625" customWidth="1"/>
    <col min="5615" max="5615" width="4.42578125" customWidth="1"/>
    <col min="5616" max="5616" width="1.85546875" customWidth="1"/>
    <col min="5617" max="5617" width="11.42578125" hidden="1" customWidth="1"/>
    <col min="5618" max="5618" width="13.28515625" customWidth="1"/>
    <col min="5619" max="5619" width="17" customWidth="1"/>
    <col min="5620" max="5620" width="13.28515625" customWidth="1"/>
    <col min="5621" max="5621" width="6.7109375" customWidth="1"/>
    <col min="5622" max="5622" width="30.42578125" customWidth="1"/>
    <col min="5623" max="5623" width="6.7109375" customWidth="1"/>
    <col min="5624" max="5624" width="7.7109375" customWidth="1"/>
    <col min="5625" max="5635" width="11.42578125" hidden="1" customWidth="1"/>
    <col min="5636" max="5640" width="9" customWidth="1"/>
    <col min="5641" max="5641" width="11.42578125" hidden="1" customWidth="1"/>
    <col min="5647" max="5647" width="19.140625" customWidth="1"/>
    <col min="5871" max="5871" width="4.42578125" customWidth="1"/>
    <col min="5872" max="5872" width="1.85546875" customWidth="1"/>
    <col min="5873" max="5873" width="11.42578125" hidden="1" customWidth="1"/>
    <col min="5874" max="5874" width="13.28515625" customWidth="1"/>
    <col min="5875" max="5875" width="17" customWidth="1"/>
    <col min="5876" max="5876" width="13.28515625" customWidth="1"/>
    <col min="5877" max="5877" width="6.7109375" customWidth="1"/>
    <col min="5878" max="5878" width="30.42578125" customWidth="1"/>
    <col min="5879" max="5879" width="6.7109375" customWidth="1"/>
    <col min="5880" max="5880" width="7.7109375" customWidth="1"/>
    <col min="5881" max="5891" width="11.42578125" hidden="1" customWidth="1"/>
    <col min="5892" max="5896" width="9" customWidth="1"/>
    <col min="5897" max="5897" width="11.42578125" hidden="1" customWidth="1"/>
    <col min="5903" max="5903" width="19.140625" customWidth="1"/>
    <col min="6127" max="6127" width="4.42578125" customWidth="1"/>
    <col min="6128" max="6128" width="1.85546875" customWidth="1"/>
    <col min="6129" max="6129" width="11.42578125" hidden="1" customWidth="1"/>
    <col min="6130" max="6130" width="13.28515625" customWidth="1"/>
    <col min="6131" max="6131" width="17" customWidth="1"/>
    <col min="6132" max="6132" width="13.28515625" customWidth="1"/>
    <col min="6133" max="6133" width="6.7109375" customWidth="1"/>
    <col min="6134" max="6134" width="30.42578125" customWidth="1"/>
    <col min="6135" max="6135" width="6.7109375" customWidth="1"/>
    <col min="6136" max="6136" width="7.7109375" customWidth="1"/>
    <col min="6137" max="6147" width="11.42578125" hidden="1" customWidth="1"/>
    <col min="6148" max="6152" width="9" customWidth="1"/>
    <col min="6153" max="6153" width="11.42578125" hidden="1" customWidth="1"/>
    <col min="6159" max="6159" width="19.140625" customWidth="1"/>
    <col min="6383" max="6383" width="4.42578125" customWidth="1"/>
    <col min="6384" max="6384" width="1.85546875" customWidth="1"/>
    <col min="6385" max="6385" width="11.42578125" hidden="1" customWidth="1"/>
    <col min="6386" max="6386" width="13.28515625" customWidth="1"/>
    <col min="6387" max="6387" width="17" customWidth="1"/>
    <col min="6388" max="6388" width="13.28515625" customWidth="1"/>
    <col min="6389" max="6389" width="6.7109375" customWidth="1"/>
    <col min="6390" max="6390" width="30.42578125" customWidth="1"/>
    <col min="6391" max="6391" width="6.7109375" customWidth="1"/>
    <col min="6392" max="6392" width="7.7109375" customWidth="1"/>
    <col min="6393" max="6403" width="11.42578125" hidden="1" customWidth="1"/>
    <col min="6404" max="6408" width="9" customWidth="1"/>
    <col min="6409" max="6409" width="11.42578125" hidden="1" customWidth="1"/>
    <col min="6415" max="6415" width="19.140625" customWidth="1"/>
    <col min="6639" max="6639" width="4.42578125" customWidth="1"/>
    <col min="6640" max="6640" width="1.85546875" customWidth="1"/>
    <col min="6641" max="6641" width="11.42578125" hidden="1" customWidth="1"/>
    <col min="6642" max="6642" width="13.28515625" customWidth="1"/>
    <col min="6643" max="6643" width="17" customWidth="1"/>
    <col min="6644" max="6644" width="13.28515625" customWidth="1"/>
    <col min="6645" max="6645" width="6.7109375" customWidth="1"/>
    <col min="6646" max="6646" width="30.42578125" customWidth="1"/>
    <col min="6647" max="6647" width="6.7109375" customWidth="1"/>
    <col min="6648" max="6648" width="7.7109375" customWidth="1"/>
    <col min="6649" max="6659" width="11.42578125" hidden="1" customWidth="1"/>
    <col min="6660" max="6664" width="9" customWidth="1"/>
    <col min="6665" max="6665" width="11.42578125" hidden="1" customWidth="1"/>
    <col min="6671" max="6671" width="19.140625" customWidth="1"/>
    <col min="6895" max="6895" width="4.42578125" customWidth="1"/>
    <col min="6896" max="6896" width="1.85546875" customWidth="1"/>
    <col min="6897" max="6897" width="11.42578125" hidden="1" customWidth="1"/>
    <col min="6898" max="6898" width="13.28515625" customWidth="1"/>
    <col min="6899" max="6899" width="17" customWidth="1"/>
    <col min="6900" max="6900" width="13.28515625" customWidth="1"/>
    <col min="6901" max="6901" width="6.7109375" customWidth="1"/>
    <col min="6902" max="6902" width="30.42578125" customWidth="1"/>
    <col min="6903" max="6903" width="6.7109375" customWidth="1"/>
    <col min="6904" max="6904" width="7.7109375" customWidth="1"/>
    <col min="6905" max="6915" width="11.42578125" hidden="1" customWidth="1"/>
    <col min="6916" max="6920" width="9" customWidth="1"/>
    <col min="6921" max="6921" width="11.42578125" hidden="1" customWidth="1"/>
    <col min="6927" max="6927" width="19.140625" customWidth="1"/>
    <col min="7151" max="7151" width="4.42578125" customWidth="1"/>
    <col min="7152" max="7152" width="1.85546875" customWidth="1"/>
    <col min="7153" max="7153" width="11.42578125" hidden="1" customWidth="1"/>
    <col min="7154" max="7154" width="13.28515625" customWidth="1"/>
    <col min="7155" max="7155" width="17" customWidth="1"/>
    <col min="7156" max="7156" width="13.28515625" customWidth="1"/>
    <col min="7157" max="7157" width="6.7109375" customWidth="1"/>
    <col min="7158" max="7158" width="30.42578125" customWidth="1"/>
    <col min="7159" max="7159" width="6.7109375" customWidth="1"/>
    <col min="7160" max="7160" width="7.7109375" customWidth="1"/>
    <col min="7161" max="7171" width="11.42578125" hidden="1" customWidth="1"/>
    <col min="7172" max="7176" width="9" customWidth="1"/>
    <col min="7177" max="7177" width="11.42578125" hidden="1" customWidth="1"/>
    <col min="7183" max="7183" width="19.140625" customWidth="1"/>
    <col min="7407" max="7407" width="4.42578125" customWidth="1"/>
    <col min="7408" max="7408" width="1.85546875" customWidth="1"/>
    <col min="7409" max="7409" width="11.42578125" hidden="1" customWidth="1"/>
    <col min="7410" max="7410" width="13.28515625" customWidth="1"/>
    <col min="7411" max="7411" width="17" customWidth="1"/>
    <col min="7412" max="7412" width="13.28515625" customWidth="1"/>
    <col min="7413" max="7413" width="6.7109375" customWidth="1"/>
    <col min="7414" max="7414" width="30.42578125" customWidth="1"/>
    <col min="7415" max="7415" width="6.7109375" customWidth="1"/>
    <col min="7416" max="7416" width="7.7109375" customWidth="1"/>
    <col min="7417" max="7427" width="11.42578125" hidden="1" customWidth="1"/>
    <col min="7428" max="7432" width="9" customWidth="1"/>
    <col min="7433" max="7433" width="11.42578125" hidden="1" customWidth="1"/>
    <col min="7439" max="7439" width="19.140625" customWidth="1"/>
    <col min="7663" max="7663" width="4.42578125" customWidth="1"/>
    <col min="7664" max="7664" width="1.85546875" customWidth="1"/>
    <col min="7665" max="7665" width="11.42578125" hidden="1" customWidth="1"/>
    <col min="7666" max="7666" width="13.28515625" customWidth="1"/>
    <col min="7667" max="7667" width="17" customWidth="1"/>
    <col min="7668" max="7668" width="13.28515625" customWidth="1"/>
    <col min="7669" max="7669" width="6.7109375" customWidth="1"/>
    <col min="7670" max="7670" width="30.42578125" customWidth="1"/>
    <col min="7671" max="7671" width="6.7109375" customWidth="1"/>
    <col min="7672" max="7672" width="7.7109375" customWidth="1"/>
    <col min="7673" max="7683" width="11.42578125" hidden="1" customWidth="1"/>
    <col min="7684" max="7688" width="9" customWidth="1"/>
    <col min="7689" max="7689" width="11.42578125" hidden="1" customWidth="1"/>
    <col min="7695" max="7695" width="19.140625" customWidth="1"/>
    <col min="7919" max="7919" width="4.42578125" customWidth="1"/>
    <col min="7920" max="7920" width="1.85546875" customWidth="1"/>
    <col min="7921" max="7921" width="11.42578125" hidden="1" customWidth="1"/>
    <col min="7922" max="7922" width="13.28515625" customWidth="1"/>
    <col min="7923" max="7923" width="17" customWidth="1"/>
    <col min="7924" max="7924" width="13.28515625" customWidth="1"/>
    <col min="7925" max="7925" width="6.7109375" customWidth="1"/>
    <col min="7926" max="7926" width="30.42578125" customWidth="1"/>
    <col min="7927" max="7927" width="6.7109375" customWidth="1"/>
    <col min="7928" max="7928" width="7.7109375" customWidth="1"/>
    <col min="7929" max="7939" width="11.42578125" hidden="1" customWidth="1"/>
    <col min="7940" max="7944" width="9" customWidth="1"/>
    <col min="7945" max="7945" width="11.42578125" hidden="1" customWidth="1"/>
    <col min="7951" max="7951" width="19.140625" customWidth="1"/>
    <col min="8175" max="8175" width="4.42578125" customWidth="1"/>
    <col min="8176" max="8176" width="1.85546875" customWidth="1"/>
    <col min="8177" max="8177" width="11.42578125" hidden="1" customWidth="1"/>
    <col min="8178" max="8178" width="13.28515625" customWidth="1"/>
    <col min="8179" max="8179" width="17" customWidth="1"/>
    <col min="8180" max="8180" width="13.28515625" customWidth="1"/>
    <col min="8181" max="8181" width="6.7109375" customWidth="1"/>
    <col min="8182" max="8182" width="30.42578125" customWidth="1"/>
    <col min="8183" max="8183" width="6.7109375" customWidth="1"/>
    <col min="8184" max="8184" width="7.7109375" customWidth="1"/>
    <col min="8185" max="8195" width="11.42578125" hidden="1" customWidth="1"/>
    <col min="8196" max="8200" width="9" customWidth="1"/>
    <col min="8201" max="8201" width="11.42578125" hidden="1" customWidth="1"/>
    <col min="8207" max="8207" width="19.140625" customWidth="1"/>
    <col min="8431" max="8431" width="4.42578125" customWidth="1"/>
    <col min="8432" max="8432" width="1.85546875" customWidth="1"/>
    <col min="8433" max="8433" width="11.42578125" hidden="1" customWidth="1"/>
    <col min="8434" max="8434" width="13.28515625" customWidth="1"/>
    <col min="8435" max="8435" width="17" customWidth="1"/>
    <col min="8436" max="8436" width="13.28515625" customWidth="1"/>
    <col min="8437" max="8437" width="6.7109375" customWidth="1"/>
    <col min="8438" max="8438" width="30.42578125" customWidth="1"/>
    <col min="8439" max="8439" width="6.7109375" customWidth="1"/>
    <col min="8440" max="8440" width="7.7109375" customWidth="1"/>
    <col min="8441" max="8451" width="11.42578125" hidden="1" customWidth="1"/>
    <col min="8452" max="8456" width="9" customWidth="1"/>
    <col min="8457" max="8457" width="11.42578125" hidden="1" customWidth="1"/>
    <col min="8463" max="8463" width="19.140625" customWidth="1"/>
    <col min="8687" max="8687" width="4.42578125" customWidth="1"/>
    <col min="8688" max="8688" width="1.85546875" customWidth="1"/>
    <col min="8689" max="8689" width="11.42578125" hidden="1" customWidth="1"/>
    <col min="8690" max="8690" width="13.28515625" customWidth="1"/>
    <col min="8691" max="8691" width="17" customWidth="1"/>
    <col min="8692" max="8692" width="13.28515625" customWidth="1"/>
    <col min="8693" max="8693" width="6.7109375" customWidth="1"/>
    <col min="8694" max="8694" width="30.42578125" customWidth="1"/>
    <col min="8695" max="8695" width="6.7109375" customWidth="1"/>
    <col min="8696" max="8696" width="7.7109375" customWidth="1"/>
    <col min="8697" max="8707" width="11.42578125" hidden="1" customWidth="1"/>
    <col min="8708" max="8712" width="9" customWidth="1"/>
    <col min="8713" max="8713" width="11.42578125" hidden="1" customWidth="1"/>
    <col min="8719" max="8719" width="19.140625" customWidth="1"/>
    <col min="8943" max="8943" width="4.42578125" customWidth="1"/>
    <col min="8944" max="8944" width="1.85546875" customWidth="1"/>
    <col min="8945" max="8945" width="11.42578125" hidden="1" customWidth="1"/>
    <col min="8946" max="8946" width="13.28515625" customWidth="1"/>
    <col min="8947" max="8947" width="17" customWidth="1"/>
    <col min="8948" max="8948" width="13.28515625" customWidth="1"/>
    <col min="8949" max="8949" width="6.7109375" customWidth="1"/>
    <col min="8950" max="8950" width="30.42578125" customWidth="1"/>
    <col min="8951" max="8951" width="6.7109375" customWidth="1"/>
    <col min="8952" max="8952" width="7.7109375" customWidth="1"/>
    <col min="8953" max="8963" width="11.42578125" hidden="1" customWidth="1"/>
    <col min="8964" max="8968" width="9" customWidth="1"/>
    <col min="8969" max="8969" width="11.42578125" hidden="1" customWidth="1"/>
    <col min="8975" max="8975" width="19.140625" customWidth="1"/>
    <col min="9199" max="9199" width="4.42578125" customWidth="1"/>
    <col min="9200" max="9200" width="1.85546875" customWidth="1"/>
    <col min="9201" max="9201" width="11.42578125" hidden="1" customWidth="1"/>
    <col min="9202" max="9202" width="13.28515625" customWidth="1"/>
    <col min="9203" max="9203" width="17" customWidth="1"/>
    <col min="9204" max="9204" width="13.28515625" customWidth="1"/>
    <col min="9205" max="9205" width="6.7109375" customWidth="1"/>
    <col min="9206" max="9206" width="30.42578125" customWidth="1"/>
    <col min="9207" max="9207" width="6.7109375" customWidth="1"/>
    <col min="9208" max="9208" width="7.7109375" customWidth="1"/>
    <col min="9209" max="9219" width="11.42578125" hidden="1" customWidth="1"/>
    <col min="9220" max="9224" width="9" customWidth="1"/>
    <col min="9225" max="9225" width="11.42578125" hidden="1" customWidth="1"/>
    <col min="9231" max="9231" width="19.140625" customWidth="1"/>
    <col min="9455" max="9455" width="4.42578125" customWidth="1"/>
    <col min="9456" max="9456" width="1.85546875" customWidth="1"/>
    <col min="9457" max="9457" width="11.42578125" hidden="1" customWidth="1"/>
    <col min="9458" max="9458" width="13.28515625" customWidth="1"/>
    <col min="9459" max="9459" width="17" customWidth="1"/>
    <col min="9460" max="9460" width="13.28515625" customWidth="1"/>
    <col min="9461" max="9461" width="6.7109375" customWidth="1"/>
    <col min="9462" max="9462" width="30.42578125" customWidth="1"/>
    <col min="9463" max="9463" width="6.7109375" customWidth="1"/>
    <col min="9464" max="9464" width="7.7109375" customWidth="1"/>
    <col min="9465" max="9475" width="11.42578125" hidden="1" customWidth="1"/>
    <col min="9476" max="9480" width="9" customWidth="1"/>
    <col min="9481" max="9481" width="11.42578125" hidden="1" customWidth="1"/>
    <col min="9487" max="9487" width="19.140625" customWidth="1"/>
    <col min="9711" max="9711" width="4.42578125" customWidth="1"/>
    <col min="9712" max="9712" width="1.85546875" customWidth="1"/>
    <col min="9713" max="9713" width="11.42578125" hidden="1" customWidth="1"/>
    <col min="9714" max="9714" width="13.28515625" customWidth="1"/>
    <col min="9715" max="9715" width="17" customWidth="1"/>
    <col min="9716" max="9716" width="13.28515625" customWidth="1"/>
    <col min="9717" max="9717" width="6.7109375" customWidth="1"/>
    <col min="9718" max="9718" width="30.42578125" customWidth="1"/>
    <col min="9719" max="9719" width="6.7109375" customWidth="1"/>
    <col min="9720" max="9720" width="7.7109375" customWidth="1"/>
    <col min="9721" max="9731" width="11.42578125" hidden="1" customWidth="1"/>
    <col min="9732" max="9736" width="9" customWidth="1"/>
    <col min="9737" max="9737" width="11.42578125" hidden="1" customWidth="1"/>
    <col min="9743" max="9743" width="19.140625" customWidth="1"/>
    <col min="9967" max="9967" width="4.42578125" customWidth="1"/>
    <col min="9968" max="9968" width="1.85546875" customWidth="1"/>
    <col min="9969" max="9969" width="11.42578125" hidden="1" customWidth="1"/>
    <col min="9970" max="9970" width="13.28515625" customWidth="1"/>
    <col min="9971" max="9971" width="17" customWidth="1"/>
    <col min="9972" max="9972" width="13.28515625" customWidth="1"/>
    <col min="9973" max="9973" width="6.7109375" customWidth="1"/>
    <col min="9974" max="9974" width="30.42578125" customWidth="1"/>
    <col min="9975" max="9975" width="6.7109375" customWidth="1"/>
    <col min="9976" max="9976" width="7.7109375" customWidth="1"/>
    <col min="9977" max="9987" width="11.42578125" hidden="1" customWidth="1"/>
    <col min="9988" max="9992" width="9" customWidth="1"/>
    <col min="9993" max="9993" width="11.42578125" hidden="1" customWidth="1"/>
    <col min="9999" max="9999" width="19.140625" customWidth="1"/>
    <col min="10223" max="10223" width="4.42578125" customWidth="1"/>
    <col min="10224" max="10224" width="1.85546875" customWidth="1"/>
    <col min="10225" max="10225" width="11.42578125" hidden="1" customWidth="1"/>
    <col min="10226" max="10226" width="13.28515625" customWidth="1"/>
    <col min="10227" max="10227" width="17" customWidth="1"/>
    <col min="10228" max="10228" width="13.28515625" customWidth="1"/>
    <col min="10229" max="10229" width="6.7109375" customWidth="1"/>
    <col min="10230" max="10230" width="30.42578125" customWidth="1"/>
    <col min="10231" max="10231" width="6.7109375" customWidth="1"/>
    <col min="10232" max="10232" width="7.7109375" customWidth="1"/>
    <col min="10233" max="10243" width="11.42578125" hidden="1" customWidth="1"/>
    <col min="10244" max="10248" width="9" customWidth="1"/>
    <col min="10249" max="10249" width="11.42578125" hidden="1" customWidth="1"/>
    <col min="10255" max="10255" width="19.140625" customWidth="1"/>
    <col min="10479" max="10479" width="4.42578125" customWidth="1"/>
    <col min="10480" max="10480" width="1.85546875" customWidth="1"/>
    <col min="10481" max="10481" width="11.42578125" hidden="1" customWidth="1"/>
    <col min="10482" max="10482" width="13.28515625" customWidth="1"/>
    <col min="10483" max="10483" width="17" customWidth="1"/>
    <col min="10484" max="10484" width="13.28515625" customWidth="1"/>
    <col min="10485" max="10485" width="6.7109375" customWidth="1"/>
    <col min="10486" max="10486" width="30.42578125" customWidth="1"/>
    <col min="10487" max="10487" width="6.7109375" customWidth="1"/>
    <col min="10488" max="10488" width="7.7109375" customWidth="1"/>
    <col min="10489" max="10499" width="11.42578125" hidden="1" customWidth="1"/>
    <col min="10500" max="10504" width="9" customWidth="1"/>
    <col min="10505" max="10505" width="11.42578125" hidden="1" customWidth="1"/>
    <col min="10511" max="10511" width="19.140625" customWidth="1"/>
    <col min="10735" max="10735" width="4.42578125" customWidth="1"/>
    <col min="10736" max="10736" width="1.85546875" customWidth="1"/>
    <col min="10737" max="10737" width="11.42578125" hidden="1" customWidth="1"/>
    <col min="10738" max="10738" width="13.28515625" customWidth="1"/>
    <col min="10739" max="10739" width="17" customWidth="1"/>
    <col min="10740" max="10740" width="13.28515625" customWidth="1"/>
    <col min="10741" max="10741" width="6.7109375" customWidth="1"/>
    <col min="10742" max="10742" width="30.42578125" customWidth="1"/>
    <col min="10743" max="10743" width="6.7109375" customWidth="1"/>
    <col min="10744" max="10744" width="7.7109375" customWidth="1"/>
    <col min="10745" max="10755" width="11.42578125" hidden="1" customWidth="1"/>
    <col min="10756" max="10760" width="9" customWidth="1"/>
    <col min="10761" max="10761" width="11.42578125" hidden="1" customWidth="1"/>
    <col min="10767" max="10767" width="19.140625" customWidth="1"/>
    <col min="10991" max="10991" width="4.42578125" customWidth="1"/>
    <col min="10992" max="10992" width="1.85546875" customWidth="1"/>
    <col min="10993" max="10993" width="11.42578125" hidden="1" customWidth="1"/>
    <col min="10994" max="10994" width="13.28515625" customWidth="1"/>
    <col min="10995" max="10995" width="17" customWidth="1"/>
    <col min="10996" max="10996" width="13.28515625" customWidth="1"/>
    <col min="10997" max="10997" width="6.7109375" customWidth="1"/>
    <col min="10998" max="10998" width="30.42578125" customWidth="1"/>
    <col min="10999" max="10999" width="6.7109375" customWidth="1"/>
    <col min="11000" max="11000" width="7.7109375" customWidth="1"/>
    <col min="11001" max="11011" width="11.42578125" hidden="1" customWidth="1"/>
    <col min="11012" max="11016" width="9" customWidth="1"/>
    <col min="11017" max="11017" width="11.42578125" hidden="1" customWidth="1"/>
    <col min="11023" max="11023" width="19.140625" customWidth="1"/>
    <col min="11247" max="11247" width="4.42578125" customWidth="1"/>
    <col min="11248" max="11248" width="1.85546875" customWidth="1"/>
    <col min="11249" max="11249" width="11.42578125" hidden="1" customWidth="1"/>
    <col min="11250" max="11250" width="13.28515625" customWidth="1"/>
    <col min="11251" max="11251" width="17" customWidth="1"/>
    <col min="11252" max="11252" width="13.28515625" customWidth="1"/>
    <col min="11253" max="11253" width="6.7109375" customWidth="1"/>
    <col min="11254" max="11254" width="30.42578125" customWidth="1"/>
    <col min="11255" max="11255" width="6.7109375" customWidth="1"/>
    <col min="11256" max="11256" width="7.7109375" customWidth="1"/>
    <col min="11257" max="11267" width="11.42578125" hidden="1" customWidth="1"/>
    <col min="11268" max="11272" width="9" customWidth="1"/>
    <col min="11273" max="11273" width="11.42578125" hidden="1" customWidth="1"/>
    <col min="11279" max="11279" width="19.140625" customWidth="1"/>
    <col min="11503" max="11503" width="4.42578125" customWidth="1"/>
    <col min="11504" max="11504" width="1.85546875" customWidth="1"/>
    <col min="11505" max="11505" width="11.42578125" hidden="1" customWidth="1"/>
    <col min="11506" max="11506" width="13.28515625" customWidth="1"/>
    <col min="11507" max="11507" width="17" customWidth="1"/>
    <col min="11508" max="11508" width="13.28515625" customWidth="1"/>
    <col min="11509" max="11509" width="6.7109375" customWidth="1"/>
    <col min="11510" max="11510" width="30.42578125" customWidth="1"/>
    <col min="11511" max="11511" width="6.7109375" customWidth="1"/>
    <col min="11512" max="11512" width="7.7109375" customWidth="1"/>
    <col min="11513" max="11523" width="11.42578125" hidden="1" customWidth="1"/>
    <col min="11524" max="11528" width="9" customWidth="1"/>
    <col min="11529" max="11529" width="11.42578125" hidden="1" customWidth="1"/>
    <col min="11535" max="11535" width="19.140625" customWidth="1"/>
    <col min="11759" max="11759" width="4.42578125" customWidth="1"/>
    <col min="11760" max="11760" width="1.85546875" customWidth="1"/>
    <col min="11761" max="11761" width="11.42578125" hidden="1" customWidth="1"/>
    <col min="11762" max="11762" width="13.28515625" customWidth="1"/>
    <col min="11763" max="11763" width="17" customWidth="1"/>
    <col min="11764" max="11764" width="13.28515625" customWidth="1"/>
    <col min="11765" max="11765" width="6.7109375" customWidth="1"/>
    <col min="11766" max="11766" width="30.42578125" customWidth="1"/>
    <col min="11767" max="11767" width="6.7109375" customWidth="1"/>
    <col min="11768" max="11768" width="7.7109375" customWidth="1"/>
    <col min="11769" max="11779" width="11.42578125" hidden="1" customWidth="1"/>
    <col min="11780" max="11784" width="9" customWidth="1"/>
    <col min="11785" max="11785" width="11.42578125" hidden="1" customWidth="1"/>
    <col min="11791" max="11791" width="19.140625" customWidth="1"/>
    <col min="12015" max="12015" width="4.42578125" customWidth="1"/>
    <col min="12016" max="12016" width="1.85546875" customWidth="1"/>
    <col min="12017" max="12017" width="11.42578125" hidden="1" customWidth="1"/>
    <col min="12018" max="12018" width="13.28515625" customWidth="1"/>
    <col min="12019" max="12019" width="17" customWidth="1"/>
    <col min="12020" max="12020" width="13.28515625" customWidth="1"/>
    <col min="12021" max="12021" width="6.7109375" customWidth="1"/>
    <col min="12022" max="12022" width="30.42578125" customWidth="1"/>
    <col min="12023" max="12023" width="6.7109375" customWidth="1"/>
    <col min="12024" max="12024" width="7.7109375" customWidth="1"/>
    <col min="12025" max="12035" width="11.42578125" hidden="1" customWidth="1"/>
    <col min="12036" max="12040" width="9" customWidth="1"/>
    <col min="12041" max="12041" width="11.42578125" hidden="1" customWidth="1"/>
    <col min="12047" max="12047" width="19.140625" customWidth="1"/>
    <col min="12271" max="12271" width="4.42578125" customWidth="1"/>
    <col min="12272" max="12272" width="1.85546875" customWidth="1"/>
    <col min="12273" max="12273" width="11.42578125" hidden="1" customWidth="1"/>
    <col min="12274" max="12274" width="13.28515625" customWidth="1"/>
    <col min="12275" max="12275" width="17" customWidth="1"/>
    <col min="12276" max="12276" width="13.28515625" customWidth="1"/>
    <col min="12277" max="12277" width="6.7109375" customWidth="1"/>
    <col min="12278" max="12278" width="30.42578125" customWidth="1"/>
    <col min="12279" max="12279" width="6.7109375" customWidth="1"/>
    <col min="12280" max="12280" width="7.7109375" customWidth="1"/>
    <col min="12281" max="12291" width="11.42578125" hidden="1" customWidth="1"/>
    <col min="12292" max="12296" width="9" customWidth="1"/>
    <col min="12297" max="12297" width="11.42578125" hidden="1" customWidth="1"/>
    <col min="12303" max="12303" width="19.140625" customWidth="1"/>
    <col min="12527" max="12527" width="4.42578125" customWidth="1"/>
    <col min="12528" max="12528" width="1.85546875" customWidth="1"/>
    <col min="12529" max="12529" width="11.42578125" hidden="1" customWidth="1"/>
    <col min="12530" max="12530" width="13.28515625" customWidth="1"/>
    <col min="12531" max="12531" width="17" customWidth="1"/>
    <col min="12532" max="12532" width="13.28515625" customWidth="1"/>
    <col min="12533" max="12533" width="6.7109375" customWidth="1"/>
    <col min="12534" max="12534" width="30.42578125" customWidth="1"/>
    <col min="12535" max="12535" width="6.7109375" customWidth="1"/>
    <col min="12536" max="12536" width="7.7109375" customWidth="1"/>
    <col min="12537" max="12547" width="11.42578125" hidden="1" customWidth="1"/>
    <col min="12548" max="12552" width="9" customWidth="1"/>
    <col min="12553" max="12553" width="11.42578125" hidden="1" customWidth="1"/>
    <col min="12559" max="12559" width="19.140625" customWidth="1"/>
    <col min="12783" max="12783" width="4.42578125" customWidth="1"/>
    <col min="12784" max="12784" width="1.85546875" customWidth="1"/>
    <col min="12785" max="12785" width="11.42578125" hidden="1" customWidth="1"/>
    <col min="12786" max="12786" width="13.28515625" customWidth="1"/>
    <col min="12787" max="12787" width="17" customWidth="1"/>
    <col min="12788" max="12788" width="13.28515625" customWidth="1"/>
    <col min="12789" max="12789" width="6.7109375" customWidth="1"/>
    <col min="12790" max="12790" width="30.42578125" customWidth="1"/>
    <col min="12791" max="12791" width="6.7109375" customWidth="1"/>
    <col min="12792" max="12792" width="7.7109375" customWidth="1"/>
    <col min="12793" max="12803" width="11.42578125" hidden="1" customWidth="1"/>
    <col min="12804" max="12808" width="9" customWidth="1"/>
    <col min="12809" max="12809" width="11.42578125" hidden="1" customWidth="1"/>
    <col min="12815" max="12815" width="19.140625" customWidth="1"/>
    <col min="13039" max="13039" width="4.42578125" customWidth="1"/>
    <col min="13040" max="13040" width="1.85546875" customWidth="1"/>
    <col min="13041" max="13041" width="11.42578125" hidden="1" customWidth="1"/>
    <col min="13042" max="13042" width="13.28515625" customWidth="1"/>
    <col min="13043" max="13043" width="17" customWidth="1"/>
    <col min="13044" max="13044" width="13.28515625" customWidth="1"/>
    <col min="13045" max="13045" width="6.7109375" customWidth="1"/>
    <col min="13046" max="13046" width="30.42578125" customWidth="1"/>
    <col min="13047" max="13047" width="6.7109375" customWidth="1"/>
    <col min="13048" max="13048" width="7.7109375" customWidth="1"/>
    <col min="13049" max="13059" width="11.42578125" hidden="1" customWidth="1"/>
    <col min="13060" max="13064" width="9" customWidth="1"/>
    <col min="13065" max="13065" width="11.42578125" hidden="1" customWidth="1"/>
    <col min="13071" max="13071" width="19.140625" customWidth="1"/>
    <col min="13295" max="13295" width="4.42578125" customWidth="1"/>
    <col min="13296" max="13296" width="1.85546875" customWidth="1"/>
    <col min="13297" max="13297" width="11.42578125" hidden="1" customWidth="1"/>
    <col min="13298" max="13298" width="13.28515625" customWidth="1"/>
    <col min="13299" max="13299" width="17" customWidth="1"/>
    <col min="13300" max="13300" width="13.28515625" customWidth="1"/>
    <col min="13301" max="13301" width="6.7109375" customWidth="1"/>
    <col min="13302" max="13302" width="30.42578125" customWidth="1"/>
    <col min="13303" max="13303" width="6.7109375" customWidth="1"/>
    <col min="13304" max="13304" width="7.7109375" customWidth="1"/>
    <col min="13305" max="13315" width="11.42578125" hidden="1" customWidth="1"/>
    <col min="13316" max="13320" width="9" customWidth="1"/>
    <col min="13321" max="13321" width="11.42578125" hidden="1" customWidth="1"/>
    <col min="13327" max="13327" width="19.140625" customWidth="1"/>
    <col min="13551" max="13551" width="4.42578125" customWidth="1"/>
    <col min="13552" max="13552" width="1.85546875" customWidth="1"/>
    <col min="13553" max="13553" width="11.42578125" hidden="1" customWidth="1"/>
    <col min="13554" max="13554" width="13.28515625" customWidth="1"/>
    <col min="13555" max="13555" width="17" customWidth="1"/>
    <col min="13556" max="13556" width="13.28515625" customWidth="1"/>
    <col min="13557" max="13557" width="6.7109375" customWidth="1"/>
    <col min="13558" max="13558" width="30.42578125" customWidth="1"/>
    <col min="13559" max="13559" width="6.7109375" customWidth="1"/>
    <col min="13560" max="13560" width="7.7109375" customWidth="1"/>
    <col min="13561" max="13571" width="11.42578125" hidden="1" customWidth="1"/>
    <col min="13572" max="13576" width="9" customWidth="1"/>
    <col min="13577" max="13577" width="11.42578125" hidden="1" customWidth="1"/>
    <col min="13583" max="13583" width="19.140625" customWidth="1"/>
    <col min="13807" max="13807" width="4.42578125" customWidth="1"/>
    <col min="13808" max="13808" width="1.85546875" customWidth="1"/>
    <col min="13809" max="13809" width="11.42578125" hidden="1" customWidth="1"/>
    <col min="13810" max="13810" width="13.28515625" customWidth="1"/>
    <col min="13811" max="13811" width="17" customWidth="1"/>
    <col min="13812" max="13812" width="13.28515625" customWidth="1"/>
    <col min="13813" max="13813" width="6.7109375" customWidth="1"/>
    <col min="13814" max="13814" width="30.42578125" customWidth="1"/>
    <col min="13815" max="13815" width="6.7109375" customWidth="1"/>
    <col min="13816" max="13816" width="7.7109375" customWidth="1"/>
    <col min="13817" max="13827" width="11.42578125" hidden="1" customWidth="1"/>
    <col min="13828" max="13832" width="9" customWidth="1"/>
    <col min="13833" max="13833" width="11.42578125" hidden="1" customWidth="1"/>
    <col min="13839" max="13839" width="19.140625" customWidth="1"/>
    <col min="14063" max="14063" width="4.42578125" customWidth="1"/>
    <col min="14064" max="14064" width="1.85546875" customWidth="1"/>
    <col min="14065" max="14065" width="11.42578125" hidden="1" customWidth="1"/>
    <col min="14066" max="14066" width="13.28515625" customWidth="1"/>
    <col min="14067" max="14067" width="17" customWidth="1"/>
    <col min="14068" max="14068" width="13.28515625" customWidth="1"/>
    <col min="14069" max="14069" width="6.7109375" customWidth="1"/>
    <col min="14070" max="14070" width="30.42578125" customWidth="1"/>
    <col min="14071" max="14071" width="6.7109375" customWidth="1"/>
    <col min="14072" max="14072" width="7.7109375" customWidth="1"/>
    <col min="14073" max="14083" width="11.42578125" hidden="1" customWidth="1"/>
    <col min="14084" max="14088" width="9" customWidth="1"/>
    <col min="14089" max="14089" width="11.42578125" hidden="1" customWidth="1"/>
    <col min="14095" max="14095" width="19.140625" customWidth="1"/>
    <col min="14319" max="14319" width="4.42578125" customWidth="1"/>
    <col min="14320" max="14320" width="1.85546875" customWidth="1"/>
    <col min="14321" max="14321" width="11.42578125" hidden="1" customWidth="1"/>
    <col min="14322" max="14322" width="13.28515625" customWidth="1"/>
    <col min="14323" max="14323" width="17" customWidth="1"/>
    <col min="14324" max="14324" width="13.28515625" customWidth="1"/>
    <col min="14325" max="14325" width="6.7109375" customWidth="1"/>
    <col min="14326" max="14326" width="30.42578125" customWidth="1"/>
    <col min="14327" max="14327" width="6.7109375" customWidth="1"/>
    <col min="14328" max="14328" width="7.7109375" customWidth="1"/>
    <col min="14329" max="14339" width="11.42578125" hidden="1" customWidth="1"/>
    <col min="14340" max="14344" width="9" customWidth="1"/>
    <col min="14345" max="14345" width="11.42578125" hidden="1" customWidth="1"/>
    <col min="14351" max="14351" width="19.140625" customWidth="1"/>
    <col min="14575" max="14575" width="4.42578125" customWidth="1"/>
    <col min="14576" max="14576" width="1.85546875" customWidth="1"/>
    <col min="14577" max="14577" width="11.42578125" hidden="1" customWidth="1"/>
    <col min="14578" max="14578" width="13.28515625" customWidth="1"/>
    <col min="14579" max="14579" width="17" customWidth="1"/>
    <col min="14580" max="14580" width="13.28515625" customWidth="1"/>
    <col min="14581" max="14581" width="6.7109375" customWidth="1"/>
    <col min="14582" max="14582" width="30.42578125" customWidth="1"/>
    <col min="14583" max="14583" width="6.7109375" customWidth="1"/>
    <col min="14584" max="14584" width="7.7109375" customWidth="1"/>
    <col min="14585" max="14595" width="11.42578125" hidden="1" customWidth="1"/>
    <col min="14596" max="14600" width="9" customWidth="1"/>
    <col min="14601" max="14601" width="11.42578125" hidden="1" customWidth="1"/>
    <col min="14607" max="14607" width="19.140625" customWidth="1"/>
    <col min="14831" max="14831" width="4.42578125" customWidth="1"/>
    <col min="14832" max="14832" width="1.85546875" customWidth="1"/>
    <col min="14833" max="14833" width="11.42578125" hidden="1" customWidth="1"/>
    <col min="14834" max="14834" width="13.28515625" customWidth="1"/>
    <col min="14835" max="14835" width="17" customWidth="1"/>
    <col min="14836" max="14836" width="13.28515625" customWidth="1"/>
    <col min="14837" max="14837" width="6.7109375" customWidth="1"/>
    <col min="14838" max="14838" width="30.42578125" customWidth="1"/>
    <col min="14839" max="14839" width="6.7109375" customWidth="1"/>
    <col min="14840" max="14840" width="7.7109375" customWidth="1"/>
    <col min="14841" max="14851" width="11.42578125" hidden="1" customWidth="1"/>
    <col min="14852" max="14856" width="9" customWidth="1"/>
    <col min="14857" max="14857" width="11.42578125" hidden="1" customWidth="1"/>
    <col min="14863" max="14863" width="19.140625" customWidth="1"/>
    <col min="15087" max="15087" width="4.42578125" customWidth="1"/>
    <col min="15088" max="15088" width="1.85546875" customWidth="1"/>
    <col min="15089" max="15089" width="11.42578125" hidden="1" customWidth="1"/>
    <col min="15090" max="15090" width="13.28515625" customWidth="1"/>
    <col min="15091" max="15091" width="17" customWidth="1"/>
    <col min="15092" max="15092" width="13.28515625" customWidth="1"/>
    <col min="15093" max="15093" width="6.7109375" customWidth="1"/>
    <col min="15094" max="15094" width="30.42578125" customWidth="1"/>
    <col min="15095" max="15095" width="6.7109375" customWidth="1"/>
    <col min="15096" max="15096" width="7.7109375" customWidth="1"/>
    <col min="15097" max="15107" width="11.42578125" hidden="1" customWidth="1"/>
    <col min="15108" max="15112" width="9" customWidth="1"/>
    <col min="15113" max="15113" width="11.42578125" hidden="1" customWidth="1"/>
    <col min="15119" max="15119" width="19.140625" customWidth="1"/>
    <col min="15343" max="15343" width="4.42578125" customWidth="1"/>
    <col min="15344" max="15344" width="1.85546875" customWidth="1"/>
    <col min="15345" max="15345" width="11.42578125" hidden="1" customWidth="1"/>
    <col min="15346" max="15346" width="13.28515625" customWidth="1"/>
    <col min="15347" max="15347" width="17" customWidth="1"/>
    <col min="15348" max="15348" width="13.28515625" customWidth="1"/>
    <col min="15349" max="15349" width="6.7109375" customWidth="1"/>
    <col min="15350" max="15350" width="30.42578125" customWidth="1"/>
    <col min="15351" max="15351" width="6.7109375" customWidth="1"/>
    <col min="15352" max="15352" width="7.7109375" customWidth="1"/>
    <col min="15353" max="15363" width="11.42578125" hidden="1" customWidth="1"/>
    <col min="15364" max="15368" width="9" customWidth="1"/>
    <col min="15369" max="15369" width="11.42578125" hidden="1" customWidth="1"/>
    <col min="15375" max="15375" width="19.140625" customWidth="1"/>
    <col min="15599" max="15599" width="4.42578125" customWidth="1"/>
    <col min="15600" max="15600" width="1.85546875" customWidth="1"/>
    <col min="15601" max="15601" width="11.42578125" hidden="1" customWidth="1"/>
    <col min="15602" max="15602" width="13.28515625" customWidth="1"/>
    <col min="15603" max="15603" width="17" customWidth="1"/>
    <col min="15604" max="15604" width="13.28515625" customWidth="1"/>
    <col min="15605" max="15605" width="6.7109375" customWidth="1"/>
    <col min="15606" max="15606" width="30.42578125" customWidth="1"/>
    <col min="15607" max="15607" width="6.7109375" customWidth="1"/>
    <col min="15608" max="15608" width="7.7109375" customWidth="1"/>
    <col min="15609" max="15619" width="11.42578125" hidden="1" customWidth="1"/>
    <col min="15620" max="15624" width="9" customWidth="1"/>
    <col min="15625" max="15625" width="11.42578125" hidden="1" customWidth="1"/>
    <col min="15631" max="15631" width="19.140625" customWidth="1"/>
    <col min="15855" max="15855" width="4.42578125" customWidth="1"/>
    <col min="15856" max="15856" width="1.85546875" customWidth="1"/>
    <col min="15857" max="15857" width="11.42578125" hidden="1" customWidth="1"/>
    <col min="15858" max="15858" width="13.28515625" customWidth="1"/>
    <col min="15859" max="15859" width="17" customWidth="1"/>
    <col min="15860" max="15860" width="13.28515625" customWidth="1"/>
    <col min="15861" max="15861" width="6.7109375" customWidth="1"/>
    <col min="15862" max="15862" width="30.42578125" customWidth="1"/>
    <col min="15863" max="15863" width="6.7109375" customWidth="1"/>
    <col min="15864" max="15864" width="7.7109375" customWidth="1"/>
    <col min="15865" max="15875" width="11.42578125" hidden="1" customWidth="1"/>
    <col min="15876" max="15880" width="9" customWidth="1"/>
    <col min="15881" max="15881" width="11.42578125" hidden="1" customWidth="1"/>
    <col min="15887" max="15887" width="19.140625" customWidth="1"/>
    <col min="16111" max="16111" width="4.42578125" customWidth="1"/>
    <col min="16112" max="16112" width="1.85546875" customWidth="1"/>
    <col min="16113" max="16113" width="11.42578125" hidden="1" customWidth="1"/>
    <col min="16114" max="16114" width="13.28515625" customWidth="1"/>
    <col min="16115" max="16115" width="17" customWidth="1"/>
    <col min="16116" max="16116" width="13.28515625" customWidth="1"/>
    <col min="16117" max="16117" width="6.7109375" customWidth="1"/>
    <col min="16118" max="16118" width="30.42578125" customWidth="1"/>
    <col min="16119" max="16119" width="6.7109375" customWidth="1"/>
    <col min="16120" max="16120" width="7.7109375" customWidth="1"/>
    <col min="16121" max="16131" width="11.42578125" hidden="1" customWidth="1"/>
    <col min="16132" max="16136" width="9" customWidth="1"/>
    <col min="16137" max="16137" width="11.42578125" hidden="1" customWidth="1"/>
    <col min="16143" max="16143" width="19.140625" customWidth="1"/>
  </cols>
  <sheetData>
    <row r="1" spans="3:11" ht="16.5">
      <c r="D1" s="2"/>
      <c r="E1" s="2"/>
      <c r="F1" s="2"/>
      <c r="G1" s="2"/>
      <c r="H1" s="2"/>
      <c r="I1" s="2"/>
      <c r="J1" s="2"/>
      <c r="K1" s="2"/>
    </row>
    <row r="2" spans="3:11" ht="16.5">
      <c r="D2" s="3" t="s">
        <v>372</v>
      </c>
      <c r="E2" s="2"/>
      <c r="F2" s="2"/>
      <c r="G2" s="2"/>
      <c r="H2" s="2"/>
      <c r="I2" s="2"/>
      <c r="J2" s="2"/>
      <c r="K2" s="2"/>
    </row>
    <row r="3" spans="3:11" ht="16.5">
      <c r="D3" s="2"/>
      <c r="E3" s="2"/>
      <c r="F3" s="2"/>
      <c r="G3" s="2"/>
      <c r="H3" s="2"/>
      <c r="I3" s="2"/>
      <c r="J3" s="2"/>
      <c r="K3" s="2"/>
    </row>
    <row r="4" spans="3:11" ht="48" customHeight="1">
      <c r="C4" s="4"/>
      <c r="D4" s="702" t="s">
        <v>373</v>
      </c>
      <c r="E4" s="702"/>
      <c r="F4" s="702"/>
      <c r="G4" s="702"/>
      <c r="H4" s="702"/>
      <c r="I4" s="702"/>
      <c r="J4" s="702"/>
      <c r="K4" s="702"/>
    </row>
    <row r="5" spans="3:11" ht="16.5">
      <c r="D5" s="2"/>
      <c r="E5" s="2"/>
      <c r="F5" s="2"/>
      <c r="G5" s="2"/>
      <c r="H5" s="2"/>
      <c r="I5" s="2"/>
      <c r="J5" s="2"/>
      <c r="K5" s="2"/>
    </row>
    <row r="6" spans="3:11" s="1" customFormat="1" ht="16.5">
      <c r="D6" s="703" t="s">
        <v>2</v>
      </c>
      <c r="E6" s="704"/>
      <c r="F6" s="5"/>
      <c r="G6" s="5"/>
      <c r="H6" s="6"/>
      <c r="I6" s="6"/>
      <c r="J6" s="6"/>
      <c r="K6" s="6"/>
    </row>
    <row r="7" spans="3:11" s="1" customFormat="1" ht="16.5">
      <c r="D7" s="703" t="s">
        <v>3</v>
      </c>
      <c r="E7" s="704"/>
      <c r="F7" s="5"/>
      <c r="G7" s="5"/>
      <c r="H7" s="6"/>
      <c r="I7" s="6"/>
      <c r="J7" s="6"/>
      <c r="K7" s="6"/>
    </row>
    <row r="8" spans="3:11" s="1" customFormat="1" ht="8.25" customHeight="1">
      <c r="D8" s="5"/>
      <c r="E8" s="5"/>
      <c r="F8" s="5"/>
      <c r="G8" s="5"/>
      <c r="H8" s="6"/>
      <c r="I8" s="6"/>
      <c r="J8" s="6"/>
      <c r="K8" s="6"/>
    </row>
    <row r="9" spans="3:11" s="1" customFormat="1">
      <c r="D9" s="7" t="s">
        <v>374</v>
      </c>
      <c r="E9" s="8"/>
      <c r="F9" s="8"/>
      <c r="G9" s="8"/>
      <c r="H9" s="8"/>
      <c r="I9" s="8"/>
      <c r="J9" s="8"/>
      <c r="K9" s="8"/>
    </row>
    <row r="10" spans="3:11" s="1" customFormat="1" ht="30.75" customHeight="1">
      <c r="D10" s="418" t="s">
        <v>375</v>
      </c>
      <c r="E10" s="570" t="s">
        <v>376</v>
      </c>
      <c r="F10" s="570" t="s">
        <v>377</v>
      </c>
      <c r="G10" s="570" t="s">
        <v>378</v>
      </c>
      <c r="H10" s="570" t="s">
        <v>379</v>
      </c>
      <c r="I10" s="570" t="s">
        <v>380</v>
      </c>
      <c r="J10" s="570" t="s">
        <v>381</v>
      </c>
      <c r="K10" s="599" t="s">
        <v>382</v>
      </c>
    </row>
    <row r="11" spans="3:11" s="1" customFormat="1" ht="26.25" customHeight="1">
      <c r="D11" s="706"/>
      <c r="E11" s="707"/>
      <c r="F11" s="571"/>
      <c r="G11" s="571"/>
      <c r="H11" s="571"/>
      <c r="I11" s="571"/>
      <c r="J11" s="597"/>
      <c r="K11" s="600"/>
    </row>
    <row r="12" spans="3:11" s="1" customFormat="1">
      <c r="D12" s="9"/>
      <c r="E12" s="10"/>
      <c r="F12" s="11"/>
      <c r="G12" s="11"/>
      <c r="H12" s="11"/>
      <c r="I12" s="11"/>
      <c r="J12" s="11"/>
      <c r="K12" s="28"/>
    </row>
    <row r="13" spans="3:11" s="1" customFormat="1">
      <c r="D13" s="9"/>
      <c r="E13" s="10"/>
      <c r="F13" s="11"/>
      <c r="G13" s="11"/>
      <c r="H13" s="11"/>
      <c r="I13" s="11"/>
      <c r="J13" s="11"/>
      <c r="K13" s="9"/>
    </row>
    <row r="14" spans="3:11" s="1" customFormat="1">
      <c r="D14" s="9"/>
      <c r="E14" s="10"/>
      <c r="F14" s="11"/>
      <c r="G14" s="11"/>
      <c r="H14" s="11"/>
      <c r="I14" s="11"/>
      <c r="J14" s="11"/>
      <c r="K14" s="9"/>
    </row>
    <row r="15" spans="3:11" s="1" customFormat="1">
      <c r="D15" s="9"/>
      <c r="E15" s="10"/>
      <c r="F15" s="11"/>
      <c r="G15" s="11"/>
      <c r="H15" s="11"/>
      <c r="I15" s="11"/>
      <c r="J15" s="11"/>
      <c r="K15" s="9"/>
    </row>
    <row r="16" spans="3:11" s="1" customFormat="1">
      <c r="D16" s="9"/>
      <c r="E16" s="10"/>
      <c r="F16" s="11"/>
      <c r="G16" s="11"/>
      <c r="H16" s="11"/>
      <c r="I16" s="11"/>
      <c r="J16" s="11"/>
      <c r="K16" s="9"/>
    </row>
    <row r="17" spans="3:11" s="1" customFormat="1">
      <c r="D17" s="426" t="s">
        <v>213</v>
      </c>
      <c r="E17" s="429"/>
      <c r="F17" s="13"/>
      <c r="G17" s="13"/>
      <c r="H17" s="13"/>
      <c r="I17" s="13"/>
      <c r="J17" s="13"/>
      <c r="K17" s="29"/>
    </row>
    <row r="18" spans="3:11" s="1" customFormat="1">
      <c r="D18" s="14" t="s">
        <v>383</v>
      </c>
      <c r="E18" s="8"/>
      <c r="F18" s="8"/>
      <c r="G18" s="8"/>
      <c r="H18" s="8"/>
      <c r="I18" s="8"/>
      <c r="J18" s="8"/>
      <c r="K18" s="8"/>
    </row>
    <row r="19" spans="3:11" s="1" customFormat="1" ht="7.5" customHeight="1">
      <c r="D19" s="8"/>
      <c r="E19" s="8"/>
      <c r="F19" s="8"/>
      <c r="G19" s="8"/>
      <c r="H19" s="8"/>
      <c r="I19" s="8"/>
      <c r="J19" s="8"/>
      <c r="K19" s="8"/>
    </row>
    <row r="20" spans="3:11" s="1" customFormat="1">
      <c r="D20" s="7" t="s">
        <v>384</v>
      </c>
      <c r="E20" s="8"/>
      <c r="F20" s="8"/>
      <c r="G20" s="8"/>
      <c r="H20" s="8"/>
      <c r="I20" s="8"/>
      <c r="J20" s="8"/>
      <c r="K20" s="8"/>
    </row>
    <row r="21" spans="3:11" s="1" customFormat="1" ht="20.25" customHeight="1">
      <c r="C21" s="15" t="s">
        <v>217</v>
      </c>
      <c r="D21" s="541" t="s">
        <v>218</v>
      </c>
      <c r="E21" s="542"/>
      <c r="F21" s="705" t="s">
        <v>385</v>
      </c>
      <c r="G21" s="543"/>
      <c r="H21" s="570" t="s">
        <v>190</v>
      </c>
      <c r="I21" s="570" t="s">
        <v>191</v>
      </c>
      <c r="J21" s="570" t="s">
        <v>386</v>
      </c>
      <c r="K21" s="708" t="s">
        <v>387</v>
      </c>
    </row>
    <row r="22" spans="3:11" s="1" customFormat="1">
      <c r="C22" s="15"/>
      <c r="D22" s="16" t="s">
        <v>220</v>
      </c>
      <c r="E22" s="17" t="s">
        <v>11</v>
      </c>
      <c r="F22" s="18" t="s">
        <v>220</v>
      </c>
      <c r="G22" s="19" t="s">
        <v>11</v>
      </c>
      <c r="H22" s="597"/>
      <c r="I22" s="597"/>
      <c r="J22" s="597"/>
      <c r="K22" s="607"/>
    </row>
    <row r="23" spans="3:11" s="1" customFormat="1">
      <c r="C23" s="20"/>
      <c r="D23" s="709" t="s">
        <v>388</v>
      </c>
      <c r="E23" s="709"/>
      <c r="F23" s="709"/>
      <c r="G23" s="709"/>
      <c r="H23" s="709"/>
      <c r="I23" s="709"/>
      <c r="J23" s="31" t="s">
        <v>389</v>
      </c>
      <c r="K23" s="32"/>
    </row>
    <row r="24" spans="3:11" s="1" customFormat="1">
      <c r="C24" s="20"/>
      <c r="D24" s="9"/>
      <c r="E24" s="9"/>
      <c r="F24" s="9"/>
      <c r="G24" s="9"/>
      <c r="H24" s="9"/>
      <c r="I24" s="9"/>
      <c r="J24" s="33"/>
      <c r="K24" s="11"/>
    </row>
    <row r="25" spans="3:11" s="1" customFormat="1" ht="15" customHeight="1">
      <c r="C25" s="20"/>
      <c r="D25" s="9"/>
      <c r="E25" s="9"/>
      <c r="F25" s="9"/>
      <c r="G25" s="9"/>
      <c r="H25" s="9"/>
      <c r="I25" s="9"/>
      <c r="J25" s="33"/>
      <c r="K25" s="11"/>
    </row>
    <row r="26" spans="3:11" s="1" customFormat="1" ht="15" customHeight="1">
      <c r="C26" s="20"/>
      <c r="D26" s="9"/>
      <c r="E26" s="9"/>
      <c r="F26" s="9"/>
      <c r="G26" s="9"/>
      <c r="H26" s="9"/>
      <c r="I26" s="9"/>
      <c r="J26" s="33"/>
      <c r="K26" s="11"/>
    </row>
    <row r="27" spans="3:11" s="1" customFormat="1" ht="15" customHeight="1">
      <c r="C27" s="20"/>
      <c r="D27" s="9"/>
      <c r="E27" s="9"/>
      <c r="F27" s="9"/>
      <c r="G27" s="9"/>
      <c r="H27" s="9"/>
      <c r="I27" s="9"/>
      <c r="J27" s="33"/>
      <c r="K27" s="11"/>
    </row>
    <row r="28" spans="3:11" s="1" customFormat="1" ht="15" customHeight="1">
      <c r="C28" s="20"/>
      <c r="D28" s="9"/>
      <c r="E28" s="9"/>
      <c r="F28" s="9"/>
      <c r="G28" s="9"/>
      <c r="H28" s="9"/>
      <c r="I28" s="9"/>
      <c r="J28" s="33"/>
      <c r="K28" s="11"/>
    </row>
    <row r="29" spans="3:11" s="1" customFormat="1" ht="15" customHeight="1">
      <c r="C29" s="20"/>
      <c r="D29" s="9"/>
      <c r="E29" s="9"/>
      <c r="F29" s="9"/>
      <c r="G29" s="9"/>
      <c r="H29" s="9"/>
      <c r="I29" s="9"/>
      <c r="J29" s="33"/>
      <c r="K29" s="11"/>
    </row>
    <row r="30" spans="3:11" s="1" customFormat="1" ht="15" customHeight="1">
      <c r="C30" s="20"/>
      <c r="D30" s="9"/>
      <c r="E30" s="9"/>
      <c r="F30" s="9"/>
      <c r="G30" s="9"/>
      <c r="H30" s="9"/>
      <c r="I30" s="9"/>
      <c r="J30" s="33"/>
      <c r="K30" s="11"/>
    </row>
    <row r="31" spans="3:11" s="1" customFormat="1" ht="15" customHeight="1">
      <c r="C31" s="20"/>
      <c r="D31" s="9"/>
      <c r="E31" s="9"/>
      <c r="F31" s="9"/>
      <c r="G31" s="9"/>
      <c r="H31" s="9"/>
      <c r="I31" s="9"/>
      <c r="J31" s="33"/>
      <c r="K31" s="11"/>
    </row>
    <row r="32" spans="3:11" s="1" customFormat="1" ht="15" customHeight="1">
      <c r="C32" s="20"/>
      <c r="D32" s="9"/>
      <c r="E32" s="9"/>
      <c r="F32" s="9"/>
      <c r="G32" s="9"/>
      <c r="H32" s="9"/>
      <c r="I32" s="9"/>
      <c r="J32" s="33"/>
      <c r="K32" s="11"/>
    </row>
    <row r="33" spans="2:11" s="1" customFormat="1" ht="15" customHeight="1">
      <c r="C33" s="20"/>
      <c r="D33" s="710" t="s">
        <v>390</v>
      </c>
      <c r="E33" s="710"/>
      <c r="F33" s="710"/>
      <c r="G33" s="710"/>
      <c r="H33" s="710"/>
      <c r="I33" s="710"/>
      <c r="J33" s="710"/>
      <c r="K33" s="34"/>
    </row>
    <row r="34" spans="2:11" s="1" customFormat="1" ht="15" customHeight="1">
      <c r="C34" s="20"/>
      <c r="D34" s="709" t="s">
        <v>391</v>
      </c>
      <c r="E34" s="709"/>
      <c r="F34" s="709"/>
      <c r="G34" s="709"/>
      <c r="H34" s="709"/>
      <c r="I34" s="709"/>
      <c r="J34" s="31" t="s">
        <v>392</v>
      </c>
      <c r="K34" s="32"/>
    </row>
    <row r="35" spans="2:11" s="1" customFormat="1" ht="15" customHeight="1">
      <c r="C35" s="20"/>
      <c r="D35" s="9"/>
      <c r="E35" s="9"/>
      <c r="F35" s="9"/>
      <c r="G35" s="9"/>
      <c r="H35" s="9"/>
      <c r="I35" s="9"/>
      <c r="J35" s="11"/>
      <c r="K35" s="11"/>
    </row>
    <row r="36" spans="2:11" s="1" customFormat="1" ht="15" customHeight="1">
      <c r="C36" s="20"/>
      <c r="D36" s="9"/>
      <c r="E36" s="9"/>
      <c r="F36" s="9"/>
      <c r="G36" s="9"/>
      <c r="H36" s="9"/>
      <c r="I36" s="9"/>
      <c r="J36" s="9"/>
      <c r="K36" s="9"/>
    </row>
    <row r="37" spans="2:11" s="1" customFormat="1" ht="15" customHeight="1">
      <c r="C37" s="20"/>
      <c r="D37" s="9"/>
      <c r="E37" s="9"/>
      <c r="F37" s="9"/>
      <c r="G37" s="9"/>
      <c r="H37" s="9"/>
      <c r="I37" s="9"/>
      <c r="J37" s="9"/>
      <c r="K37" s="9"/>
    </row>
    <row r="38" spans="2:11" s="1" customFormat="1" ht="15" customHeight="1">
      <c r="C38" s="20"/>
      <c r="D38" s="710" t="s">
        <v>393</v>
      </c>
      <c r="E38" s="710"/>
      <c r="F38" s="710"/>
      <c r="G38" s="710"/>
      <c r="H38" s="710"/>
      <c r="I38" s="710"/>
      <c r="J38" s="710"/>
      <c r="K38" s="34"/>
    </row>
    <row r="39" spans="2:11" s="1" customFormat="1">
      <c r="C39" s="21"/>
      <c r="D39" s="666" t="s">
        <v>213</v>
      </c>
      <c r="E39" s="667"/>
      <c r="F39" s="667"/>
      <c r="G39" s="667"/>
      <c r="H39" s="667"/>
      <c r="I39" s="667"/>
      <c r="J39" s="668"/>
      <c r="K39" s="35"/>
    </row>
    <row r="40" spans="2:11" s="1" customFormat="1" ht="10.5" customHeight="1">
      <c r="D40" s="8"/>
      <c r="E40" s="8"/>
      <c r="F40" s="8"/>
      <c r="G40" s="8"/>
      <c r="H40" s="8"/>
      <c r="I40" s="8"/>
      <c r="J40" s="8"/>
      <c r="K40" s="8"/>
    </row>
    <row r="41" spans="2:11" s="1" customFormat="1">
      <c r="B41" s="23"/>
      <c r="C41" s="24"/>
      <c r="D41" s="666" t="s">
        <v>40</v>
      </c>
      <c r="E41" s="668"/>
      <c r="F41" s="669" t="s">
        <v>394</v>
      </c>
      <c r="G41" s="667"/>
      <c r="H41" s="667"/>
      <c r="I41" s="667"/>
      <c r="J41" s="667"/>
      <c r="K41" s="36" t="s">
        <v>42</v>
      </c>
    </row>
    <row r="42" spans="2:11" s="1" customFormat="1">
      <c r="C42" s="25"/>
      <c r="D42" s="413" t="s">
        <v>43</v>
      </c>
      <c r="E42" s="415"/>
      <c r="F42" s="578"/>
      <c r="G42" s="672"/>
      <c r="H42" s="672"/>
      <c r="I42" s="672"/>
      <c r="J42" s="672"/>
      <c r="K42" s="9"/>
    </row>
    <row r="43" spans="2:11" s="1" customFormat="1">
      <c r="C43" s="25"/>
      <c r="D43" s="413" t="s">
        <v>395</v>
      </c>
      <c r="E43" s="415"/>
      <c r="F43" s="578"/>
      <c r="G43" s="672"/>
      <c r="H43" s="672"/>
      <c r="I43" s="672"/>
      <c r="J43" s="672"/>
      <c r="K43" s="9"/>
    </row>
    <row r="44" spans="2:11" s="1" customFormat="1">
      <c r="B44" s="26"/>
      <c r="C44" s="27"/>
      <c r="D44" s="413" t="s">
        <v>45</v>
      </c>
      <c r="E44" s="415"/>
      <c r="F44" s="578"/>
      <c r="G44" s="672"/>
      <c r="H44" s="672"/>
      <c r="I44" s="672"/>
      <c r="J44" s="672"/>
      <c r="K44" s="9"/>
    </row>
    <row r="45" spans="2:11" s="1" customFormat="1">
      <c r="B45" s="26"/>
      <c r="C45" s="27"/>
      <c r="D45" s="413" t="s">
        <v>46</v>
      </c>
      <c r="E45" s="415"/>
      <c r="F45" s="578"/>
      <c r="G45" s="672"/>
      <c r="H45" s="672"/>
      <c r="I45" s="672"/>
      <c r="J45" s="672"/>
      <c r="K45" s="9"/>
    </row>
    <row r="46" spans="2:11" s="1" customFormat="1">
      <c r="D46" s="8"/>
      <c r="E46" s="8"/>
      <c r="F46" s="8"/>
      <c r="G46" s="8"/>
      <c r="H46" s="8"/>
      <c r="I46" s="8"/>
      <c r="J46" s="8"/>
      <c r="K46" s="37" t="s">
        <v>47</v>
      </c>
    </row>
    <row r="47" spans="2:11" ht="16.5">
      <c r="D47" s="416"/>
      <c r="E47" s="416"/>
      <c r="F47" s="416"/>
      <c r="G47" s="416"/>
      <c r="H47" s="416"/>
      <c r="I47" s="416"/>
      <c r="J47" s="416"/>
      <c r="K47" s="2"/>
    </row>
    <row r="48" spans="2:11" ht="16.5">
      <c r="D48" s="2"/>
      <c r="E48" s="2"/>
      <c r="F48" s="2"/>
      <c r="G48" s="2"/>
      <c r="H48" s="2"/>
      <c r="I48" s="2"/>
      <c r="J48" s="2"/>
      <c r="K48" s="2"/>
    </row>
  </sheetData>
  <mergeCells count="34">
    <mergeCell ref="K10:K11"/>
    <mergeCell ref="K21:K22"/>
    <mergeCell ref="D44:E44"/>
    <mergeCell ref="F44:J44"/>
    <mergeCell ref="D45:E45"/>
    <mergeCell ref="F45:J45"/>
    <mergeCell ref="D23:I23"/>
    <mergeCell ref="D33:J33"/>
    <mergeCell ref="D34:I34"/>
    <mergeCell ref="D38:J38"/>
    <mergeCell ref="D39:J39"/>
    <mergeCell ref="D47:J47"/>
    <mergeCell ref="D41:E41"/>
    <mergeCell ref="F41:J41"/>
    <mergeCell ref="D42:E42"/>
    <mergeCell ref="F42:J42"/>
    <mergeCell ref="D43:E43"/>
    <mergeCell ref="F43:J43"/>
    <mergeCell ref="D4:K4"/>
    <mergeCell ref="D6:E6"/>
    <mergeCell ref="D7:E7"/>
    <mergeCell ref="D17:E17"/>
    <mergeCell ref="D21:E21"/>
    <mergeCell ref="F21:G21"/>
    <mergeCell ref="D10:D11"/>
    <mergeCell ref="E10:E11"/>
    <mergeCell ref="F10:F11"/>
    <mergeCell ref="G10:G11"/>
    <mergeCell ref="H10:H11"/>
    <mergeCell ref="H21:H22"/>
    <mergeCell ref="I10:I11"/>
    <mergeCell ref="I21:I22"/>
    <mergeCell ref="J10:J11"/>
    <mergeCell ref="J21:J22"/>
  </mergeCells>
  <pageMargins left="0.7" right="0.7" top="0.75" bottom="0.75" header="0.3" footer="0.3"/>
  <pageSetup paperSize="122" scale="55"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15</vt:i4>
      </vt:variant>
    </vt:vector>
  </HeadingPairs>
  <TitlesOfParts>
    <vt:vector size="33" baseType="lpstr">
      <vt:lpstr>Form 1.1</vt:lpstr>
      <vt:lpstr>Form 1.2</vt:lpstr>
      <vt:lpstr>ACCION DE CORTO PLAZO- RESPONSA</vt:lpstr>
      <vt:lpstr>OPERACIONES Y TAREAS</vt:lpstr>
      <vt:lpstr>FECHA PREVISTA DE INICIO Y FINA</vt:lpstr>
      <vt:lpstr>CUADRO 4</vt:lpstr>
      <vt:lpstr>Form 2.1</vt:lpstr>
      <vt:lpstr>Form 2.2</vt:lpstr>
      <vt:lpstr>Form 3</vt:lpstr>
      <vt:lpstr>Form 5</vt:lpstr>
      <vt:lpstr>Form 6</vt:lpstr>
      <vt:lpstr>Form 7</vt:lpstr>
      <vt:lpstr>Form 9</vt:lpstr>
      <vt:lpstr>Form 8</vt:lpstr>
      <vt:lpstr>Form 10</vt:lpstr>
      <vt:lpstr>Form 11</vt:lpstr>
      <vt:lpstr>Form 12</vt:lpstr>
      <vt:lpstr>Form 13</vt:lpstr>
      <vt:lpstr>'Form 1.1'!Área_de_impresión</vt:lpstr>
      <vt:lpstr>'Form 1.2'!Área_de_impresión</vt:lpstr>
      <vt:lpstr>'Form 10'!Área_de_impresión</vt:lpstr>
      <vt:lpstr>'Form 11'!Área_de_impresión</vt:lpstr>
      <vt:lpstr>'Form 12'!Área_de_impresión</vt:lpstr>
      <vt:lpstr>'Form 13'!Área_de_impresión</vt:lpstr>
      <vt:lpstr>'Form 2.1'!Área_de_impresión</vt:lpstr>
      <vt:lpstr>'Form 2.2'!Área_de_impresión</vt:lpstr>
      <vt:lpstr>'Form 3'!Área_de_impresión</vt:lpstr>
      <vt:lpstr>'Form 5'!Área_de_impresión</vt:lpstr>
      <vt:lpstr>'Form 6'!Área_de_impresión</vt:lpstr>
      <vt:lpstr>'Form 7'!Área_de_impresión</vt:lpstr>
      <vt:lpstr>'Form 8'!Área_de_impresión</vt:lpstr>
      <vt:lpstr>'Form 9'!Área_de_impresión</vt:lpstr>
      <vt:lpstr>'OPERACIONES Y TAREAS'!Área_de_impresión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Anahi Chuquimia Vargas</dc:creator>
  <cp:lastModifiedBy>Personal</cp:lastModifiedBy>
  <cp:lastPrinted>2026-08-22T19:26:28Z</cp:lastPrinted>
  <dcterms:created xsi:type="dcterms:W3CDTF">2019-06-18T00:27:00Z</dcterms:created>
  <dcterms:modified xsi:type="dcterms:W3CDTF">2026-08-23T05:13:07Z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EEEE82F004964E3DB32009373345ADA4_13</vt:lpwstr>
  </property>
  <property fmtid="{D5CDD505-2E9C-101B-9397-08002B2CF9AE}" pid="3" name="KSOProductBuildVer">
    <vt:lpwstr>2058-12.2.0.22222</vt:lpwstr>
  </property>
</Properties>
</file>